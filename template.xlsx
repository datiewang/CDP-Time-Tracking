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nhm1392\OneDrive - 株式会社 ホテルオークラ\ドキュメント\Outlook ファイル\"/>
    </mc:Choice>
  </mc:AlternateContent>
  <xr:revisionPtr revIDLastSave="0" documentId="13_ncr:1_{5C6A6982-C722-499A-B7A7-02221BD6D0B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2025年4月～9月分" sheetId="4" r:id="rId1"/>
    <sheet name="参考 2024年10月～翌3月分" sheetId="3" r:id="rId2"/>
    <sheet name="参考 2024年4月～9月分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4" l="1"/>
  <c r="U15" i="4"/>
  <c r="V15" i="4"/>
  <c r="W15" i="4"/>
  <c r="AC15" i="4"/>
  <c r="AD15" i="4"/>
  <c r="AE15" i="4"/>
  <c r="AF15" i="4"/>
  <c r="AG15" i="4"/>
  <c r="N15" i="4"/>
  <c r="M15" i="4"/>
  <c r="I15" i="4"/>
  <c r="T15" i="4"/>
  <c r="J15" i="4"/>
  <c r="S15" i="4"/>
  <c r="AL14" i="4"/>
  <c r="AL9" i="4"/>
  <c r="AK15" i="4"/>
  <c r="AJ15" i="4"/>
  <c r="AI15" i="4"/>
  <c r="AH15" i="4"/>
  <c r="AB15" i="4"/>
  <c r="AA15" i="4"/>
  <c r="Z15" i="4"/>
  <c r="Y15" i="4"/>
  <c r="X15" i="4"/>
  <c r="R15" i="4"/>
  <c r="Q15" i="4"/>
  <c r="P15" i="4"/>
  <c r="L15" i="4"/>
  <c r="K15" i="4"/>
  <c r="H15" i="4"/>
  <c r="G15" i="4"/>
  <c r="F15" i="4"/>
  <c r="C15" i="4"/>
  <c r="E15" i="4"/>
  <c r="AL10" i="4"/>
  <c r="AL11" i="4"/>
  <c r="AL12" i="4"/>
  <c r="AL13" i="4"/>
  <c r="D14" i="4"/>
  <c r="D13" i="4"/>
  <c r="D12" i="4"/>
  <c r="D11" i="4"/>
  <c r="D10" i="4"/>
  <c r="D9" i="4"/>
  <c r="B14" i="4"/>
  <c r="B15" i="4" s="1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E45" i="3"/>
  <c r="F45" i="3"/>
  <c r="G45" i="3"/>
  <c r="H45" i="3"/>
  <c r="I45" i="3"/>
  <c r="J45" i="3"/>
  <c r="K45" i="3"/>
  <c r="L45" i="3"/>
  <c r="M45" i="3"/>
  <c r="D45" i="3"/>
  <c r="C45" i="3"/>
  <c r="X43" i="3"/>
  <c r="X42" i="3"/>
  <c r="X41" i="3"/>
  <c r="X40" i="3"/>
  <c r="X39" i="3"/>
  <c r="X38" i="3"/>
  <c r="X37" i="3"/>
  <c r="X36" i="3"/>
  <c r="C44" i="3"/>
  <c r="S45" i="3"/>
  <c r="R45" i="3"/>
  <c r="Q45" i="3"/>
  <c r="P45" i="3"/>
  <c r="O45" i="3"/>
  <c r="N45" i="3"/>
  <c r="AL15" i="4" l="1"/>
  <c r="D15" i="4"/>
  <c r="X44" i="3"/>
  <c r="X45" i="3"/>
  <c r="E27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4" i="2"/>
  <c r="Q27" i="2"/>
  <c r="L27" i="2"/>
  <c r="M27" i="2"/>
  <c r="N27" i="2"/>
  <c r="O27" i="2"/>
  <c r="P27" i="2"/>
  <c r="R27" i="2"/>
  <c r="K27" i="2"/>
  <c r="J27" i="2"/>
  <c r="I27" i="2"/>
  <c r="H27" i="2"/>
  <c r="G27" i="2"/>
  <c r="F27" i="2"/>
  <c r="D27" i="2"/>
  <c r="C27" i="2"/>
  <c r="S27" i="2" l="1"/>
</calcChain>
</file>

<file path=xl/sharedStrings.xml><?xml version="1.0" encoding="utf-8"?>
<sst xmlns="http://schemas.openxmlformats.org/spreadsheetml/2006/main" count="247" uniqueCount="97">
  <si>
    <t>金平さん</t>
    <rPh sb="0" eb="2">
      <t>カネヒラ</t>
    </rPh>
    <phoneticPr fontId="1"/>
  </si>
  <si>
    <t>金田</t>
    <rPh sb="0" eb="2">
      <t>カネダ</t>
    </rPh>
    <phoneticPr fontId="1"/>
  </si>
  <si>
    <t>堤さん</t>
    <rPh sb="0" eb="1">
      <t>ツツミ</t>
    </rPh>
    <phoneticPr fontId="1"/>
  </si>
  <si>
    <t>大崎さん</t>
    <rPh sb="0" eb="2">
      <t>オオサキ</t>
    </rPh>
    <phoneticPr fontId="1"/>
  </si>
  <si>
    <t>内田さん</t>
    <rPh sb="0" eb="2">
      <t>ウチダ</t>
    </rPh>
    <phoneticPr fontId="1"/>
  </si>
  <si>
    <t>近藤さん</t>
    <rPh sb="0" eb="2">
      <t>コンドウ</t>
    </rPh>
    <phoneticPr fontId="1"/>
  </si>
  <si>
    <t>須田さん</t>
    <rPh sb="0" eb="2">
      <t>スダ</t>
    </rPh>
    <phoneticPr fontId="1"/>
  </si>
  <si>
    <t>日付</t>
    <rPh sb="0" eb="2">
      <t>ヒヅケ</t>
    </rPh>
    <phoneticPr fontId="1"/>
  </si>
  <si>
    <t>ITZ</t>
    <phoneticPr fontId="1"/>
  </si>
  <si>
    <t>鈴木（隆）さん</t>
    <rPh sb="0" eb="2">
      <t>スズキ</t>
    </rPh>
    <rPh sb="3" eb="4">
      <t>タカシ</t>
    </rPh>
    <phoneticPr fontId="1"/>
  </si>
  <si>
    <t>合計</t>
    <rPh sb="0" eb="2">
      <t>ゴウケイ</t>
    </rPh>
    <phoneticPr fontId="1"/>
  </si>
  <si>
    <t>許さん</t>
    <rPh sb="0" eb="1">
      <t>ユル</t>
    </rPh>
    <phoneticPr fontId="1"/>
  </si>
  <si>
    <t>三嶋さん</t>
    <rPh sb="0" eb="2">
      <t>ミシマ</t>
    </rPh>
    <phoneticPr fontId="1"/>
  </si>
  <si>
    <t>OKURA×IreckonU 
Weekly Meeting
（毎週火曜日）</t>
    <rPh sb="32" eb="34">
      <t>マイシュウ</t>
    </rPh>
    <rPh sb="34" eb="37">
      <t>カヨウビ</t>
    </rPh>
    <phoneticPr fontId="1"/>
  </si>
  <si>
    <t>鬼塚さん</t>
    <rPh sb="0" eb="2">
      <t>オニツカ</t>
    </rPh>
    <phoneticPr fontId="1"/>
  </si>
  <si>
    <t>4月～9月</t>
    <rPh sb="1" eb="2">
      <t>ガツ</t>
    </rPh>
    <rPh sb="4" eb="5">
      <t>ガツ</t>
    </rPh>
    <phoneticPr fontId="1"/>
  </si>
  <si>
    <t>CDP PJ Weekly catch up call
　　　毎週月曜日30分
（IRU JJさんと金平さん 1対１）</t>
    <rPh sb="50" eb="52">
      <t>カネヒラ</t>
    </rPh>
    <rPh sb="56" eb="57">
      <t>タイ</t>
    </rPh>
    <phoneticPr fontId="1"/>
  </si>
  <si>
    <t>OKURA×IreckonU
来日Meeting</t>
    <rPh sb="15" eb="17">
      <t>ライニチ</t>
    </rPh>
    <phoneticPr fontId="1"/>
  </si>
  <si>
    <t>岸田さん</t>
    <rPh sb="0" eb="2">
      <t>キシダ</t>
    </rPh>
    <phoneticPr fontId="1"/>
  </si>
  <si>
    <t>戸舘さん</t>
    <rPh sb="0" eb="2">
      <t>トダテ</t>
    </rPh>
    <phoneticPr fontId="1"/>
  </si>
  <si>
    <t>渡辺さん（杏）</t>
    <rPh sb="0" eb="2">
      <t>ワタナベ</t>
    </rPh>
    <rPh sb="5" eb="6">
      <t>アン</t>
    </rPh>
    <phoneticPr fontId="1"/>
  </si>
  <si>
    <t>2024年4月～9月分</t>
    <rPh sb="4" eb="5">
      <t>ネン</t>
    </rPh>
    <rPh sb="6" eb="7">
      <t>ガツ</t>
    </rPh>
    <rPh sb="9" eb="10">
      <t>ガツ</t>
    </rPh>
    <rPh sb="10" eb="11">
      <t>ブン</t>
    </rPh>
    <phoneticPr fontId="1"/>
  </si>
  <si>
    <t>SMZグループ</t>
    <phoneticPr fontId="1"/>
  </si>
  <si>
    <t>渡辺（望）</t>
    <rPh sb="0" eb="2">
      <t>ワタナベ</t>
    </rPh>
    <rPh sb="3" eb="4">
      <t>ノゾ</t>
    </rPh>
    <phoneticPr fontId="1"/>
  </si>
  <si>
    <t>岩崎さん</t>
    <rPh sb="0" eb="2">
      <t>イワサキ</t>
    </rPh>
    <phoneticPr fontId="1"/>
  </si>
  <si>
    <t>単位：hr</t>
    <rPh sb="0" eb="2">
      <t>タンイ</t>
    </rPh>
    <phoneticPr fontId="1"/>
  </si>
  <si>
    <t>NECとのCDP追加連携開発の
要件定義の打ち合わせ</t>
    <rPh sb="8" eb="10">
      <t>ツイカ</t>
    </rPh>
    <phoneticPr fontId="1"/>
  </si>
  <si>
    <t>馮さん</t>
    <rPh sb="0" eb="1">
      <t>ヒョウ</t>
    </rPh>
    <phoneticPr fontId="1"/>
  </si>
  <si>
    <t>金田さん</t>
    <rPh sb="0" eb="2">
      <t>カネダ</t>
    </rPh>
    <phoneticPr fontId="1"/>
  </si>
  <si>
    <t>林さん</t>
    <rPh sb="0" eb="1">
      <t>ハヤシ</t>
    </rPh>
    <phoneticPr fontId="1"/>
  </si>
  <si>
    <t>10月～翌3月</t>
    <rPh sb="2" eb="3">
      <t>ガツ</t>
    </rPh>
    <rPh sb="4" eb="5">
      <t>ヨク</t>
    </rPh>
    <rPh sb="6" eb="7">
      <t>ガツ</t>
    </rPh>
    <phoneticPr fontId="1"/>
  </si>
  <si>
    <t>OKURA×IreckonU
来日Meeting
2024/11</t>
    <rPh sb="15" eb="17">
      <t>ライニチ</t>
    </rPh>
    <phoneticPr fontId="1"/>
  </si>
  <si>
    <t>OKURA×IreckonU
来日Meeting
2025/3</t>
    <rPh sb="15" eb="17">
      <t>ライニチ</t>
    </rPh>
    <phoneticPr fontId="1"/>
  </si>
  <si>
    <t>CDP-NEHOPSテスト
2024/11</t>
    <phoneticPr fontId="1"/>
  </si>
  <si>
    <t>CDP-NEHOPSテスト
2025/2</t>
    <phoneticPr fontId="1"/>
  </si>
  <si>
    <t>月次</t>
    <rPh sb="0" eb="2">
      <t>ゲツジ</t>
    </rPh>
    <phoneticPr fontId="1"/>
  </si>
  <si>
    <t>香田さん</t>
    <rPh sb="0" eb="2">
      <t>コウダ</t>
    </rPh>
    <phoneticPr fontId="1"/>
  </si>
  <si>
    <t>清水さん</t>
    <rPh sb="0" eb="2">
      <t>シミズ</t>
    </rPh>
    <phoneticPr fontId="1"/>
  </si>
  <si>
    <t>谷さん</t>
    <rPh sb="0" eb="1">
      <t>タニ</t>
    </rPh>
    <phoneticPr fontId="1"/>
  </si>
  <si>
    <t>竹中さん</t>
    <rPh sb="0" eb="2">
      <t>タケナカ</t>
    </rPh>
    <phoneticPr fontId="1"/>
  </si>
  <si>
    <t>OPZグループ</t>
    <phoneticPr fontId="1"/>
  </si>
  <si>
    <t>2024年10月～2025年3月分</t>
    <rPh sb="4" eb="5">
      <t>ネン</t>
    </rPh>
    <rPh sb="7" eb="8">
      <t>ガツ</t>
    </rPh>
    <rPh sb="13" eb="14">
      <t>ネン</t>
    </rPh>
    <rPh sb="15" eb="16">
      <t>ガツ</t>
    </rPh>
    <rPh sb="16" eb="17">
      <t>ブン</t>
    </rPh>
    <phoneticPr fontId="1"/>
  </si>
  <si>
    <t>ー</t>
    <phoneticPr fontId="1"/>
  </si>
  <si>
    <t>動画無し</t>
    <rPh sb="0" eb="2">
      <t>ドウガ</t>
    </rPh>
    <rPh sb="2" eb="3">
      <t>ナ</t>
    </rPh>
    <phoneticPr fontId="1"/>
  </si>
  <si>
    <t>4月</t>
    <rPh sb="1" eb="2">
      <t>ツキ</t>
    </rPh>
    <phoneticPr fontId="1"/>
  </si>
  <si>
    <t>5月</t>
  </si>
  <si>
    <t>6月</t>
  </si>
  <si>
    <t>7月</t>
  </si>
  <si>
    <t>8月</t>
  </si>
  <si>
    <t>9月</t>
  </si>
  <si>
    <t>CDPプロジェクトに関わる工数を資産計上する為に、FY2025上期（4月～9月）において、CDPプロジェクトに関わった方の労働時間の実績報告をお願いします。</t>
    <rPh sb="22" eb="23">
      <t>タメ</t>
    </rPh>
    <rPh sb="31" eb="33">
      <t>カミキ</t>
    </rPh>
    <rPh sb="35" eb="36">
      <t>ツキ</t>
    </rPh>
    <rPh sb="38" eb="39">
      <t>ツキ</t>
    </rPh>
    <rPh sb="55" eb="56">
      <t>カカ</t>
    </rPh>
    <rPh sb="59" eb="60">
      <t>カタ</t>
    </rPh>
    <rPh sb="61" eb="65">
      <t>ロウドウジカン</t>
    </rPh>
    <rPh sb="66" eb="68">
      <t>ジッセキ</t>
    </rPh>
    <rPh sb="68" eb="70">
      <t>ホウコク</t>
    </rPh>
    <rPh sb="72" eb="73">
      <t>ネガ</t>
    </rPh>
    <phoneticPr fontId="1"/>
  </si>
  <si>
    <t>社員A(社員名記載)</t>
    <rPh sb="0" eb="2">
      <t>シャイン</t>
    </rPh>
    <rPh sb="4" eb="7">
      <t>シャインメイ</t>
    </rPh>
    <rPh sb="7" eb="9">
      <t>キサイ</t>
    </rPh>
    <phoneticPr fontId="1"/>
  </si>
  <si>
    <t>社員B(社員名記載)</t>
    <rPh sb="0" eb="2">
      <t>シャイン</t>
    </rPh>
    <rPh sb="4" eb="7">
      <t>シャインメイ</t>
    </rPh>
    <rPh sb="7" eb="9">
      <t>キサイ</t>
    </rPh>
    <phoneticPr fontId="1"/>
  </si>
  <si>
    <t>■CDPプロジェクトに関わる工数確認</t>
    <rPh sb="16" eb="18">
      <t>カクニン</t>
    </rPh>
    <phoneticPr fontId="1"/>
  </si>
  <si>
    <t>2025年4月～2025年9月分</t>
    <phoneticPr fontId="1"/>
  </si>
  <si>
    <t>対象期間</t>
    <rPh sb="0" eb="2">
      <t>タイショウ</t>
    </rPh>
    <rPh sb="2" eb="4">
      <t>キカン</t>
    </rPh>
    <phoneticPr fontId="1"/>
  </si>
  <si>
    <t>部署名：ITZ</t>
    <phoneticPr fontId="1"/>
  </si>
  <si>
    <t>部署名：SMZグループ</t>
    <phoneticPr fontId="1"/>
  </si>
  <si>
    <t>部署名：OPZグループ</t>
    <phoneticPr fontId="1"/>
  </si>
  <si>
    <t>部署名：CDP推進室</t>
    <rPh sb="7" eb="10">
      <t>スイシンシツ</t>
    </rPh>
    <phoneticPr fontId="1"/>
  </si>
  <si>
    <t>入力例</t>
    <rPh sb="0" eb="3">
      <t>ニュウリョクレイ</t>
    </rPh>
    <phoneticPr fontId="1"/>
  </si>
  <si>
    <t>※ 部署別・人別でご報告をお願いします。</t>
    <rPh sb="2" eb="5">
      <t>ブショベツ</t>
    </rPh>
    <rPh sb="6" eb="8">
      <t>ヒトベツ</t>
    </rPh>
    <rPh sb="10" eb="12">
      <t>ホウコク</t>
    </rPh>
    <rPh sb="14" eb="15">
      <t>ネガ</t>
    </rPh>
    <phoneticPr fontId="1"/>
  </si>
  <si>
    <t>社員C(社員名記載)</t>
    <rPh sb="0" eb="2">
      <t>シャイン</t>
    </rPh>
    <rPh sb="4" eb="7">
      <t>シャインメイ</t>
    </rPh>
    <rPh sb="7" eb="9">
      <t>キサイ</t>
    </rPh>
    <phoneticPr fontId="1"/>
  </si>
  <si>
    <t>月/ 単位：hr</t>
    <rPh sb="0" eb="1">
      <t>ツキ</t>
    </rPh>
    <phoneticPr fontId="1"/>
  </si>
  <si>
    <t>Tetsuya KANEHIRA</t>
    <phoneticPr fontId="1"/>
  </si>
  <si>
    <t>Shunsuke HAYASHI</t>
    <phoneticPr fontId="1"/>
  </si>
  <si>
    <t>I HYO</t>
    <phoneticPr fontId="1"/>
  </si>
  <si>
    <t>Yuka ONITSUKA</t>
    <phoneticPr fontId="1"/>
  </si>
  <si>
    <t>Zhiyuan WANG</t>
    <phoneticPr fontId="1"/>
  </si>
  <si>
    <t>Ryutaro SUZUKI</t>
    <phoneticPr fontId="1"/>
  </si>
  <si>
    <t>Akiomi UCHIDA</t>
    <phoneticPr fontId="1"/>
  </si>
  <si>
    <t>Atsuko SUDA</t>
  </si>
  <si>
    <t>Ayako NINOMIYA</t>
    <phoneticPr fontId="1"/>
  </si>
  <si>
    <t>Hisako TANI</t>
    <phoneticPr fontId="1"/>
  </si>
  <si>
    <t>Chieko YAMAMOTO</t>
    <phoneticPr fontId="1"/>
  </si>
  <si>
    <t>Jungim HUR</t>
    <phoneticPr fontId="1"/>
  </si>
  <si>
    <t>Kayo HIWATASHI</t>
    <phoneticPr fontId="1"/>
  </si>
  <si>
    <t>Koji KODA</t>
    <phoneticPr fontId="1"/>
  </si>
  <si>
    <t>Mariko NEGISHI</t>
    <phoneticPr fontId="1"/>
  </si>
  <si>
    <t>Masanori HONDA</t>
    <phoneticPr fontId="1"/>
  </si>
  <si>
    <t>Masayo ODAKA</t>
    <phoneticPr fontId="1"/>
  </si>
  <si>
    <t>Megumi KONDO</t>
    <phoneticPr fontId="1"/>
  </si>
  <si>
    <t>Minoru YONEYAMA</t>
    <phoneticPr fontId="1"/>
  </si>
  <si>
    <t>Mitsumasa TSUTSUMI</t>
    <phoneticPr fontId="1"/>
  </si>
  <si>
    <t>Moe AKUTSU</t>
    <phoneticPr fontId="1"/>
  </si>
  <si>
    <t>Nozomi WATANABE</t>
    <phoneticPr fontId="1"/>
  </si>
  <si>
    <t>Rikako MISHIMA</t>
    <phoneticPr fontId="1"/>
  </si>
  <si>
    <t>Ryota MAEDA</t>
    <phoneticPr fontId="1"/>
  </si>
  <si>
    <t>Seiichi TAKENAKA</t>
    <phoneticPr fontId="1"/>
  </si>
  <si>
    <t>Shigenobu OSAKI</t>
    <phoneticPr fontId="1"/>
  </si>
  <si>
    <t>Shuhei MATSUBARA</t>
    <phoneticPr fontId="1"/>
  </si>
  <si>
    <t>Sonoko KISHIDA</t>
    <phoneticPr fontId="1"/>
  </si>
  <si>
    <t>Tadayuki TAKAGI</t>
    <phoneticPr fontId="1"/>
  </si>
  <si>
    <t>Taito TODATE</t>
    <phoneticPr fontId="1"/>
  </si>
  <si>
    <t>Yuriko SUDA</t>
    <phoneticPr fontId="1"/>
  </si>
  <si>
    <t>Yukino NAOE</t>
    <phoneticPr fontId="1"/>
  </si>
  <si>
    <t>Yasutoshi AOYAGI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</si>
</sst>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0.0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56" fontId="0" fillId="0" borderId="1" xfId="0" applyNumberFormat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2" fillId="0" borderId="0" xfId="0" applyFont="1">
      <alignment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7406-762C-4849-9258-F1C01D99B4A5}">
  <sheetPr>
    <pageSetUpPr fitToPage="1"/>
  </sheetPr>
  <dimension ref="A1:AL15"/>
  <sheetViews>
    <sheetView tabSelected="1" zoomScale="85" zoomScaleNormal="85" workbookViewId="0">
      <pane xSplit="1" ySplit="8" topLeftCell="B9" activePane="bottomRight" state="frozen"/>
      <selection pane="topRight" activeCell="C1" sqref="C1"/>
      <selection pane="bottomLeft" activeCell="A4" sqref="A4"/>
      <selection pane="bottomRight" activeCell="O15" sqref="O15"/>
    </sheetView>
  </sheetViews>
  <sheetFormatPr defaultRowHeight="18" x14ac:dyDescent="0.55000000000000004"/>
  <cols>
    <col min="1" max="1" width="18.5" customWidth="1"/>
    <col min="2" max="4" width="10.6640625" customWidth="1"/>
    <col min="5" max="5" width="24.1640625" bestFit="1" customWidth="1"/>
    <col min="6" max="6" width="19.25" bestFit="1" customWidth="1"/>
    <col min="7" max="7" width="9.5" customWidth="1"/>
    <col min="8" max="8" width="16.08203125" bestFit="1" customWidth="1"/>
    <col min="9" max="9" width="18.75" bestFit="1" customWidth="1"/>
    <col min="10" max="10" width="16.08203125" customWidth="1"/>
    <col min="11" max="11" width="14.5" bestFit="1" customWidth="1"/>
    <col min="12" max="12" width="15.75" bestFit="1" customWidth="1"/>
    <col min="13" max="13" width="22" bestFit="1" customWidth="1"/>
    <col min="14" max="15" width="22" customWidth="1"/>
    <col min="16" max="16" width="15" bestFit="1" customWidth="1"/>
    <col min="17" max="17" width="13.08203125" bestFit="1" customWidth="1"/>
    <col min="18" max="18" width="20.25" bestFit="1" customWidth="1"/>
    <col min="19" max="23" width="20.25" customWidth="1"/>
    <col min="24" max="24" width="19.83203125" bestFit="1" customWidth="1"/>
    <col min="25" max="25" width="12.08203125" bestFit="1" customWidth="1"/>
    <col min="26" max="26" width="17.08203125" customWidth="1"/>
    <col min="27" max="27" width="10.33203125" bestFit="1" customWidth="1"/>
    <col min="28" max="28" width="17" bestFit="1" customWidth="1"/>
    <col min="29" max="29" width="20.08203125" bestFit="1" customWidth="1"/>
    <col min="30" max="33" width="20.08203125" customWidth="1"/>
    <col min="34" max="34" width="13.5" bestFit="1" customWidth="1"/>
    <col min="35" max="35" width="17" bestFit="1" customWidth="1"/>
    <col min="36" max="36" width="13.5" bestFit="1" customWidth="1"/>
    <col min="37" max="37" width="17.83203125" bestFit="1" customWidth="1"/>
    <col min="38" max="38" width="9.5" customWidth="1"/>
  </cols>
  <sheetData>
    <row r="1" spans="1:38" x14ac:dyDescent="0.55000000000000004">
      <c r="A1" s="14" t="s">
        <v>53</v>
      </c>
      <c r="B1" s="14"/>
      <c r="C1" s="14"/>
      <c r="D1" s="28" t="s">
        <v>55</v>
      </c>
      <c r="E1" s="14" t="s">
        <v>54</v>
      </c>
      <c r="F1" s="14"/>
    </row>
    <row r="2" spans="1:38" x14ac:dyDescent="0.55000000000000004">
      <c r="A2" s="14"/>
      <c r="B2" s="14"/>
      <c r="C2" s="14"/>
      <c r="D2" s="14"/>
    </row>
    <row r="3" spans="1:38" x14ac:dyDescent="0.55000000000000004">
      <c r="A3" s="14" t="s">
        <v>50</v>
      </c>
      <c r="B3" s="14"/>
      <c r="C3" s="14"/>
      <c r="D3" s="14"/>
    </row>
    <row r="4" spans="1:38" x14ac:dyDescent="0.55000000000000004">
      <c r="A4" s="14" t="s">
        <v>61</v>
      </c>
      <c r="B4" s="14"/>
      <c r="C4" s="14"/>
      <c r="D4" s="14"/>
    </row>
    <row r="5" spans="1:38" x14ac:dyDescent="0.55000000000000004">
      <c r="A5" s="14"/>
      <c r="B5" s="14"/>
      <c r="C5" s="14"/>
      <c r="D5" s="14"/>
    </row>
    <row r="6" spans="1:38" x14ac:dyDescent="0.55000000000000004">
      <c r="A6" s="14"/>
      <c r="B6" s="14"/>
      <c r="C6" s="14"/>
      <c r="D6" s="14"/>
    </row>
    <row r="7" spans="1:38" x14ac:dyDescent="0.55000000000000004">
      <c r="A7" s="24"/>
      <c r="B7" s="34" t="s">
        <v>60</v>
      </c>
      <c r="C7" s="34"/>
      <c r="D7" s="34"/>
      <c r="E7" s="30" t="s">
        <v>56</v>
      </c>
      <c r="F7" s="31"/>
      <c r="G7" s="31"/>
      <c r="H7" s="31"/>
      <c r="I7" s="31"/>
      <c r="J7" s="31"/>
      <c r="K7" s="32"/>
      <c r="L7" s="30" t="s">
        <v>57</v>
      </c>
      <c r="M7" s="31"/>
      <c r="N7" s="31"/>
      <c r="O7" s="31"/>
      <c r="P7" s="33"/>
      <c r="Q7" s="33"/>
      <c r="R7" s="33"/>
      <c r="S7" s="33"/>
      <c r="T7" s="33"/>
      <c r="U7" s="33"/>
      <c r="V7" s="33"/>
      <c r="W7" s="33"/>
      <c r="X7" s="33"/>
      <c r="Y7" s="30" t="s">
        <v>58</v>
      </c>
      <c r="Z7" s="33"/>
      <c r="AA7" s="33"/>
      <c r="AB7" s="33"/>
      <c r="AC7" s="33"/>
      <c r="AD7" s="33"/>
      <c r="AE7" s="33"/>
      <c r="AF7" s="33"/>
      <c r="AG7" s="33"/>
      <c r="AH7" s="35"/>
      <c r="AI7" s="30" t="s">
        <v>59</v>
      </c>
      <c r="AJ7" s="33"/>
      <c r="AK7" s="33"/>
    </row>
    <row r="8" spans="1:38" x14ac:dyDescent="0.55000000000000004">
      <c r="A8" s="28" t="s">
        <v>63</v>
      </c>
      <c r="B8" s="27" t="s">
        <v>51</v>
      </c>
      <c r="C8" s="27" t="s">
        <v>52</v>
      </c>
      <c r="D8" s="27" t="s">
        <v>62</v>
      </c>
      <c r="E8" s="1" t="s">
        <v>64</v>
      </c>
      <c r="F8" s="7" t="s">
        <v>65</v>
      </c>
      <c r="G8" s="7" t="s">
        <v>66</v>
      </c>
      <c r="H8" s="7" t="s">
        <v>67</v>
      </c>
      <c r="I8" s="7" t="s">
        <v>82</v>
      </c>
      <c r="J8" s="7" t="s">
        <v>78</v>
      </c>
      <c r="K8" s="7" t="s">
        <v>68</v>
      </c>
      <c r="L8" s="23" t="s">
        <v>69</v>
      </c>
      <c r="M8" s="23" t="s">
        <v>83</v>
      </c>
      <c r="N8" s="23" t="s">
        <v>89</v>
      </c>
      <c r="O8" s="23" t="s">
        <v>91</v>
      </c>
      <c r="P8" s="23" t="s">
        <v>70</v>
      </c>
      <c r="Q8" s="23" t="s">
        <v>71</v>
      </c>
      <c r="R8" s="23" t="s">
        <v>74</v>
      </c>
      <c r="S8" s="23" t="s">
        <v>75</v>
      </c>
      <c r="T8" s="23" t="s">
        <v>81</v>
      </c>
      <c r="U8" s="23" t="s">
        <v>85</v>
      </c>
      <c r="V8" s="23" t="s">
        <v>86</v>
      </c>
      <c r="W8" s="23" t="s">
        <v>95</v>
      </c>
      <c r="X8" s="23" t="s">
        <v>80</v>
      </c>
      <c r="Y8" s="23" t="s">
        <v>73</v>
      </c>
      <c r="Z8" s="7" t="s">
        <v>76</v>
      </c>
      <c r="AA8" s="7" t="s">
        <v>77</v>
      </c>
      <c r="AB8" s="7" t="s">
        <v>79</v>
      </c>
      <c r="AC8" s="7" t="s">
        <v>90</v>
      </c>
      <c r="AD8" s="7" t="s">
        <v>92</v>
      </c>
      <c r="AE8" s="7" t="s">
        <v>96</v>
      </c>
      <c r="AF8" s="7" t="s">
        <v>94</v>
      </c>
      <c r="AG8" s="7" t="s">
        <v>88</v>
      </c>
      <c r="AH8" s="7" t="s">
        <v>84</v>
      </c>
      <c r="AI8" s="7" t="s">
        <v>72</v>
      </c>
      <c r="AJ8" s="7" t="s">
        <v>87</v>
      </c>
      <c r="AK8" s="7" t="s">
        <v>93</v>
      </c>
      <c r="AL8" s="8" t="s">
        <v>10</v>
      </c>
    </row>
    <row r="9" spans="1:38" ht="37.5" customHeight="1" x14ac:dyDescent="0.55000000000000004">
      <c r="A9" s="26" t="s">
        <v>44</v>
      </c>
      <c r="B9" s="25">
        <v>80</v>
      </c>
      <c r="C9" s="25">
        <v>100</v>
      </c>
      <c r="D9" s="25">
        <f t="shared" ref="D9:D14" si="0">7.5*22</f>
        <v>165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>
        <f t="shared" ref="AL9:AL14" si="1">SUM(E9:AK9)</f>
        <v>0</v>
      </c>
    </row>
    <row r="10" spans="1:38" ht="37.5" customHeight="1" x14ac:dyDescent="0.55000000000000004">
      <c r="A10" s="26" t="s">
        <v>45</v>
      </c>
      <c r="B10" s="25">
        <v>82.5</v>
      </c>
      <c r="C10" s="25">
        <v>100</v>
      </c>
      <c r="D10" s="25">
        <f t="shared" si="0"/>
        <v>165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>
        <f t="shared" si="1"/>
        <v>0</v>
      </c>
    </row>
    <row r="11" spans="1:38" ht="37.5" customHeight="1" x14ac:dyDescent="0.55000000000000004">
      <c r="A11" s="26" t="s">
        <v>46</v>
      </c>
      <c r="B11" s="25">
        <v>90</v>
      </c>
      <c r="C11" s="25">
        <v>100</v>
      </c>
      <c r="D11" s="25">
        <f t="shared" si="0"/>
        <v>165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J11" s="19"/>
      <c r="AK11" s="19"/>
      <c r="AL11" s="19">
        <f t="shared" si="1"/>
        <v>0</v>
      </c>
    </row>
    <row r="12" spans="1:38" ht="37.5" customHeight="1" x14ac:dyDescent="0.55000000000000004">
      <c r="A12" s="26" t="s">
        <v>47</v>
      </c>
      <c r="B12" s="25">
        <v>100</v>
      </c>
      <c r="C12" s="25">
        <v>100</v>
      </c>
      <c r="D12" s="25">
        <f t="shared" si="0"/>
        <v>165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>
        <f t="shared" si="1"/>
        <v>0</v>
      </c>
    </row>
    <row r="13" spans="1:38" ht="37.5" customHeight="1" x14ac:dyDescent="0.55000000000000004">
      <c r="A13" s="26" t="s">
        <v>48</v>
      </c>
      <c r="B13" s="25">
        <v>120</v>
      </c>
      <c r="C13" s="25">
        <v>100</v>
      </c>
      <c r="D13" s="25">
        <f t="shared" si="0"/>
        <v>165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>
        <f t="shared" si="1"/>
        <v>0</v>
      </c>
    </row>
    <row r="14" spans="1:38" ht="37.5" customHeight="1" x14ac:dyDescent="0.55000000000000004">
      <c r="A14" s="26" t="s">
        <v>49</v>
      </c>
      <c r="B14" s="25">
        <f>7.5*22</f>
        <v>165</v>
      </c>
      <c r="C14" s="25">
        <v>100</v>
      </c>
      <c r="D14" s="25">
        <f t="shared" si="0"/>
        <v>165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>
        <f t="shared" si="1"/>
        <v>0</v>
      </c>
    </row>
    <row r="15" spans="1:38" x14ac:dyDescent="0.55000000000000004">
      <c r="A15" s="12" t="s">
        <v>10</v>
      </c>
      <c r="B15" s="29">
        <f>SUM(B9:B14)</f>
        <v>637.5</v>
      </c>
      <c r="C15" s="29">
        <f>SUM(C9:C14)</f>
        <v>600</v>
      </c>
      <c r="D15" s="12">
        <f t="shared" ref="D15" si="2">SUM(D9:D14)</f>
        <v>990</v>
      </c>
      <c r="E15" s="22">
        <f>SUM(E9:E14)</f>
        <v>0</v>
      </c>
      <c r="F15" s="22">
        <f t="shared" ref="F15:AK15" si="3">SUM(F9:F14)</f>
        <v>0</v>
      </c>
      <c r="G15" s="22">
        <f t="shared" si="3"/>
        <v>0</v>
      </c>
      <c r="H15" s="22">
        <f t="shared" si="3"/>
        <v>0</v>
      </c>
      <c r="I15" s="22">
        <f t="shared" si="3"/>
        <v>0</v>
      </c>
      <c r="J15" s="22">
        <f t="shared" si="3"/>
        <v>0</v>
      </c>
      <c r="K15" s="22">
        <f t="shared" si="3"/>
        <v>0</v>
      </c>
      <c r="L15" s="22">
        <f t="shared" si="3"/>
        <v>0</v>
      </c>
      <c r="M15" s="22">
        <f t="shared" si="3"/>
        <v>0</v>
      </c>
      <c r="N15" s="22">
        <f t="shared" si="3"/>
        <v>0</v>
      </c>
      <c r="O15" s="22">
        <f t="shared" si="3"/>
        <v>0</v>
      </c>
      <c r="P15" s="22">
        <f t="shared" si="3"/>
        <v>0</v>
      </c>
      <c r="Q15" s="22">
        <f t="shared" si="3"/>
        <v>0</v>
      </c>
      <c r="R15" s="22">
        <f t="shared" si="3"/>
        <v>0</v>
      </c>
      <c r="S15" s="22">
        <f t="shared" si="3"/>
        <v>0</v>
      </c>
      <c r="T15" s="22">
        <f t="shared" si="3"/>
        <v>0</v>
      </c>
      <c r="U15" s="22">
        <f t="shared" si="3"/>
        <v>0</v>
      </c>
      <c r="V15" s="22">
        <f t="shared" si="3"/>
        <v>0</v>
      </c>
      <c r="W15" s="22">
        <f t="shared" si="3"/>
        <v>0</v>
      </c>
      <c r="X15" s="22">
        <f t="shared" si="3"/>
        <v>0</v>
      </c>
      <c r="Y15" s="22">
        <f t="shared" si="3"/>
        <v>0</v>
      </c>
      <c r="Z15" s="22">
        <f t="shared" si="3"/>
        <v>0</v>
      </c>
      <c r="AA15" s="22">
        <f>SUM(AA9:AA14)</f>
        <v>0</v>
      </c>
      <c r="AB15" s="22">
        <f t="shared" si="3"/>
        <v>0</v>
      </c>
      <c r="AC15" s="22">
        <f t="shared" si="3"/>
        <v>0</v>
      </c>
      <c r="AD15" s="22">
        <f t="shared" si="3"/>
        <v>0</v>
      </c>
      <c r="AE15" s="22">
        <f t="shared" si="3"/>
        <v>0</v>
      </c>
      <c r="AF15" s="22">
        <f t="shared" si="3"/>
        <v>0</v>
      </c>
      <c r="AG15" s="22">
        <f t="shared" si="3"/>
        <v>0</v>
      </c>
      <c r="AH15" s="22">
        <f t="shared" si="3"/>
        <v>0</v>
      </c>
      <c r="AI15" s="22">
        <f t="shared" si="3"/>
        <v>0</v>
      </c>
      <c r="AJ15" s="22">
        <f t="shared" si="3"/>
        <v>0</v>
      </c>
      <c r="AK15" s="22">
        <f t="shared" si="3"/>
        <v>0</v>
      </c>
      <c r="AL15" s="22">
        <f>SUM(AL9:AL14)</f>
        <v>0</v>
      </c>
    </row>
  </sheetData>
  <mergeCells count="5">
    <mergeCell ref="E7:K7"/>
    <mergeCell ref="L7:X7"/>
    <mergeCell ref="B7:D7"/>
    <mergeCell ref="Y7:AH7"/>
    <mergeCell ref="AI7:AK7"/>
  </mergeCells>
  <phoneticPr fontId="1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4DEE-7FA7-45E5-8776-E3DD679CFAB1}">
  <dimension ref="A1:Y45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RowHeight="18" x14ac:dyDescent="0.55000000000000004"/>
  <cols>
    <col min="1" max="1" width="28.58203125" customWidth="1"/>
    <col min="2" max="2" width="12.33203125" style="16" customWidth="1"/>
    <col min="3" max="17" width="9.5" customWidth="1"/>
    <col min="18" max="18" width="8.83203125" customWidth="1"/>
    <col min="19" max="19" width="8.58203125" customWidth="1"/>
    <col min="20" max="24" width="9.5" customWidth="1"/>
  </cols>
  <sheetData>
    <row r="1" spans="1:24" x14ac:dyDescent="0.55000000000000004">
      <c r="A1" s="14" t="s">
        <v>41</v>
      </c>
      <c r="X1" t="s">
        <v>25</v>
      </c>
    </row>
    <row r="2" spans="1:24" x14ac:dyDescent="0.55000000000000004">
      <c r="C2" s="30" t="s">
        <v>8</v>
      </c>
      <c r="D2" s="31"/>
      <c r="E2" s="31"/>
      <c r="F2" s="31"/>
      <c r="G2" s="32"/>
      <c r="H2" s="30" t="s">
        <v>22</v>
      </c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1" t="s">
        <v>40</v>
      </c>
      <c r="U2" s="33"/>
      <c r="V2" s="33"/>
      <c r="W2" s="33"/>
    </row>
    <row r="3" spans="1:24" x14ac:dyDescent="0.55000000000000004">
      <c r="B3" s="1" t="s">
        <v>7</v>
      </c>
      <c r="C3" s="11" t="s">
        <v>0</v>
      </c>
      <c r="D3" s="2" t="s">
        <v>14</v>
      </c>
      <c r="E3" s="2" t="s">
        <v>27</v>
      </c>
      <c r="F3" s="2" t="s">
        <v>29</v>
      </c>
      <c r="G3" s="2" t="s">
        <v>28</v>
      </c>
      <c r="H3" s="2" t="s">
        <v>9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11</v>
      </c>
      <c r="O3" s="2" t="s">
        <v>12</v>
      </c>
      <c r="P3" s="2" t="s">
        <v>18</v>
      </c>
      <c r="Q3" s="2" t="s">
        <v>19</v>
      </c>
      <c r="R3" s="2" t="s">
        <v>20</v>
      </c>
      <c r="S3" s="2" t="s">
        <v>23</v>
      </c>
      <c r="T3" s="2" t="s">
        <v>39</v>
      </c>
      <c r="U3" s="2" t="s">
        <v>36</v>
      </c>
      <c r="V3" s="2" t="s">
        <v>37</v>
      </c>
      <c r="W3" s="2" t="s">
        <v>38</v>
      </c>
      <c r="X3" s="8" t="s">
        <v>10</v>
      </c>
    </row>
    <row r="4" spans="1:24" x14ac:dyDescent="0.55000000000000004">
      <c r="A4" s="36" t="s">
        <v>31</v>
      </c>
      <c r="B4" s="15">
        <v>45608</v>
      </c>
      <c r="C4" s="19">
        <v>6</v>
      </c>
      <c r="D4" s="19">
        <v>6</v>
      </c>
      <c r="E4" s="19" t="s">
        <v>42</v>
      </c>
      <c r="F4" s="19" t="s">
        <v>42</v>
      </c>
      <c r="G4" s="19" t="s">
        <v>42</v>
      </c>
      <c r="H4" s="19">
        <v>2</v>
      </c>
      <c r="I4" s="19" t="s">
        <v>42</v>
      </c>
      <c r="J4" s="19">
        <v>4</v>
      </c>
      <c r="K4" s="19" t="s">
        <v>42</v>
      </c>
      <c r="L4" s="19">
        <v>4</v>
      </c>
      <c r="M4" s="19" t="s">
        <v>42</v>
      </c>
      <c r="N4" s="19" t="s">
        <v>42</v>
      </c>
      <c r="O4" s="19" t="s">
        <v>42</v>
      </c>
      <c r="P4" s="19" t="s">
        <v>42</v>
      </c>
      <c r="Q4" s="19" t="s">
        <v>42</v>
      </c>
      <c r="R4" s="19" t="s">
        <v>42</v>
      </c>
      <c r="S4" s="19" t="s">
        <v>42</v>
      </c>
      <c r="T4" s="19" t="s">
        <v>42</v>
      </c>
      <c r="U4" s="19" t="s">
        <v>42</v>
      </c>
      <c r="V4" s="19" t="s">
        <v>42</v>
      </c>
      <c r="W4" s="19" t="s">
        <v>42</v>
      </c>
      <c r="X4" s="19">
        <f t="shared" ref="X4:X35" si="0">SUM(C4:W4)</f>
        <v>22</v>
      </c>
    </row>
    <row r="5" spans="1:24" x14ac:dyDescent="0.55000000000000004">
      <c r="A5" s="37"/>
      <c r="B5" s="15">
        <v>45609</v>
      </c>
      <c r="C5" s="19">
        <v>6.5</v>
      </c>
      <c r="D5" s="19">
        <v>6.5</v>
      </c>
      <c r="E5" s="19" t="s">
        <v>42</v>
      </c>
      <c r="F5" s="19" t="s">
        <v>42</v>
      </c>
      <c r="G5" s="19">
        <v>6.5</v>
      </c>
      <c r="H5" s="19">
        <v>1.5</v>
      </c>
      <c r="I5" s="19" t="s">
        <v>42</v>
      </c>
      <c r="J5" s="19">
        <v>6.5</v>
      </c>
      <c r="K5" s="19" t="s">
        <v>42</v>
      </c>
      <c r="L5" s="19">
        <v>6.5</v>
      </c>
      <c r="M5" s="19" t="s">
        <v>42</v>
      </c>
      <c r="N5" s="19" t="s">
        <v>42</v>
      </c>
      <c r="O5" s="19" t="s">
        <v>42</v>
      </c>
      <c r="P5" s="19" t="s">
        <v>42</v>
      </c>
      <c r="Q5" s="19" t="s">
        <v>42</v>
      </c>
      <c r="R5" s="19" t="s">
        <v>42</v>
      </c>
      <c r="S5" s="19" t="s">
        <v>42</v>
      </c>
      <c r="T5" s="19" t="s">
        <v>42</v>
      </c>
      <c r="U5" s="19" t="s">
        <v>42</v>
      </c>
      <c r="V5" s="19" t="s">
        <v>42</v>
      </c>
      <c r="W5" s="19" t="s">
        <v>42</v>
      </c>
      <c r="X5" s="19">
        <f t="shared" si="0"/>
        <v>34</v>
      </c>
    </row>
    <row r="6" spans="1:24" x14ac:dyDescent="0.55000000000000004">
      <c r="A6" s="37"/>
      <c r="B6" s="15">
        <v>45610</v>
      </c>
      <c r="C6" s="19">
        <v>7</v>
      </c>
      <c r="D6" s="19">
        <v>7</v>
      </c>
      <c r="E6" s="19" t="s">
        <v>42</v>
      </c>
      <c r="F6" s="19" t="s">
        <v>42</v>
      </c>
      <c r="G6" s="19">
        <v>7</v>
      </c>
      <c r="H6" s="19" t="s">
        <v>42</v>
      </c>
      <c r="I6" s="19" t="s">
        <v>42</v>
      </c>
      <c r="J6" s="19">
        <v>5.5</v>
      </c>
      <c r="K6" s="19" t="s">
        <v>42</v>
      </c>
      <c r="L6" s="19">
        <v>5.5</v>
      </c>
      <c r="M6" s="19" t="s">
        <v>42</v>
      </c>
      <c r="N6" s="19" t="s">
        <v>42</v>
      </c>
      <c r="O6" s="19" t="s">
        <v>42</v>
      </c>
      <c r="P6" s="19" t="s">
        <v>42</v>
      </c>
      <c r="Q6" s="19" t="s">
        <v>42</v>
      </c>
      <c r="R6" s="19" t="s">
        <v>42</v>
      </c>
      <c r="S6" s="19" t="s">
        <v>42</v>
      </c>
      <c r="T6" s="19" t="s">
        <v>42</v>
      </c>
      <c r="U6" s="19" t="s">
        <v>42</v>
      </c>
      <c r="V6" s="19" t="s">
        <v>42</v>
      </c>
      <c r="W6" s="19">
        <v>1.5</v>
      </c>
      <c r="X6" s="19">
        <f t="shared" si="0"/>
        <v>33.5</v>
      </c>
    </row>
    <row r="7" spans="1:24" x14ac:dyDescent="0.55000000000000004">
      <c r="A7" s="37"/>
      <c r="B7" s="15">
        <v>45611</v>
      </c>
      <c r="C7" s="19">
        <v>2</v>
      </c>
      <c r="D7" s="19">
        <v>2</v>
      </c>
      <c r="E7" s="19" t="s">
        <v>42</v>
      </c>
      <c r="F7" s="19" t="s">
        <v>42</v>
      </c>
      <c r="G7" s="19">
        <v>2</v>
      </c>
      <c r="H7" s="19" t="s">
        <v>42</v>
      </c>
      <c r="I7" s="19" t="s">
        <v>42</v>
      </c>
      <c r="J7" s="19" t="s">
        <v>42</v>
      </c>
      <c r="K7" s="19" t="s">
        <v>42</v>
      </c>
      <c r="L7" s="19" t="s">
        <v>42</v>
      </c>
      <c r="M7" s="19" t="s">
        <v>42</v>
      </c>
      <c r="N7" s="19" t="s">
        <v>42</v>
      </c>
      <c r="O7" s="19" t="s">
        <v>42</v>
      </c>
      <c r="P7" s="19" t="s">
        <v>42</v>
      </c>
      <c r="Q7" s="19" t="s">
        <v>42</v>
      </c>
      <c r="R7" s="19" t="s">
        <v>42</v>
      </c>
      <c r="S7" s="19" t="s">
        <v>42</v>
      </c>
      <c r="T7" s="19">
        <v>2</v>
      </c>
      <c r="U7" s="19">
        <v>2</v>
      </c>
      <c r="V7" s="19" t="s">
        <v>42</v>
      </c>
      <c r="W7" s="19" t="s">
        <v>42</v>
      </c>
      <c r="X7" s="19">
        <f t="shared" si="0"/>
        <v>10</v>
      </c>
    </row>
    <row r="8" spans="1:24" x14ac:dyDescent="0.55000000000000004">
      <c r="A8" s="36" t="s">
        <v>32</v>
      </c>
      <c r="B8" s="15">
        <v>45741</v>
      </c>
      <c r="C8" s="19">
        <v>7.5</v>
      </c>
      <c r="D8" s="19">
        <v>7.5</v>
      </c>
      <c r="E8" s="19">
        <v>7.5</v>
      </c>
      <c r="F8" s="19">
        <v>7.5</v>
      </c>
      <c r="G8" s="19" t="s">
        <v>42</v>
      </c>
      <c r="H8" s="19">
        <v>2</v>
      </c>
      <c r="I8" s="19" t="s">
        <v>42</v>
      </c>
      <c r="J8" s="19" t="s">
        <v>42</v>
      </c>
      <c r="K8" s="19" t="s">
        <v>42</v>
      </c>
      <c r="L8" s="19">
        <v>4</v>
      </c>
      <c r="M8" s="19" t="s">
        <v>42</v>
      </c>
      <c r="N8" s="19" t="s">
        <v>42</v>
      </c>
      <c r="O8" s="19" t="s">
        <v>42</v>
      </c>
      <c r="P8" s="19" t="s">
        <v>42</v>
      </c>
      <c r="Q8" s="19" t="s">
        <v>42</v>
      </c>
      <c r="R8" s="19" t="s">
        <v>42</v>
      </c>
      <c r="S8" s="19" t="s">
        <v>42</v>
      </c>
      <c r="T8" s="19" t="s">
        <v>42</v>
      </c>
      <c r="U8" s="19" t="s">
        <v>42</v>
      </c>
      <c r="V8" s="19" t="s">
        <v>42</v>
      </c>
      <c r="W8" s="19" t="s">
        <v>42</v>
      </c>
      <c r="X8" s="19">
        <f t="shared" si="0"/>
        <v>36</v>
      </c>
    </row>
    <row r="9" spans="1:24" x14ac:dyDescent="0.55000000000000004">
      <c r="A9" s="37"/>
      <c r="B9" s="15">
        <v>45742</v>
      </c>
      <c r="C9" s="19">
        <v>7.5</v>
      </c>
      <c r="D9" s="19">
        <v>7.5</v>
      </c>
      <c r="E9" s="19">
        <v>7.5</v>
      </c>
      <c r="F9" s="19">
        <v>7.5</v>
      </c>
      <c r="G9" s="19" t="s">
        <v>42</v>
      </c>
      <c r="H9" s="19">
        <v>1.5</v>
      </c>
      <c r="I9" s="19" t="s">
        <v>42</v>
      </c>
      <c r="J9" s="19">
        <v>6.5</v>
      </c>
      <c r="K9" s="19" t="s">
        <v>42</v>
      </c>
      <c r="L9" s="19">
        <v>6.5</v>
      </c>
      <c r="M9" s="19" t="s">
        <v>42</v>
      </c>
      <c r="N9" s="19" t="s">
        <v>42</v>
      </c>
      <c r="O9" s="19" t="s">
        <v>42</v>
      </c>
      <c r="P9" s="19" t="s">
        <v>42</v>
      </c>
      <c r="Q9" s="19" t="s">
        <v>42</v>
      </c>
      <c r="R9" s="19" t="s">
        <v>42</v>
      </c>
      <c r="S9" s="19" t="s">
        <v>42</v>
      </c>
      <c r="T9" s="19" t="s">
        <v>42</v>
      </c>
      <c r="U9" s="19" t="s">
        <v>42</v>
      </c>
      <c r="V9" s="19" t="s">
        <v>42</v>
      </c>
      <c r="W9" s="19" t="s">
        <v>42</v>
      </c>
      <c r="X9" s="19">
        <f t="shared" si="0"/>
        <v>44.5</v>
      </c>
    </row>
    <row r="10" spans="1:24" x14ac:dyDescent="0.55000000000000004">
      <c r="A10" s="37"/>
      <c r="B10" s="15">
        <v>45743</v>
      </c>
      <c r="C10" s="19">
        <v>7.5</v>
      </c>
      <c r="D10" s="19">
        <v>7.5</v>
      </c>
      <c r="E10" s="19">
        <v>7.5</v>
      </c>
      <c r="F10" s="19">
        <v>7.5</v>
      </c>
      <c r="G10" s="19" t="s">
        <v>42</v>
      </c>
      <c r="H10" s="19" t="s">
        <v>42</v>
      </c>
      <c r="I10" s="19" t="s">
        <v>42</v>
      </c>
      <c r="J10" s="19">
        <v>5.5</v>
      </c>
      <c r="K10" s="19" t="s">
        <v>42</v>
      </c>
      <c r="L10" s="19">
        <v>6.5</v>
      </c>
      <c r="M10" s="19" t="s">
        <v>42</v>
      </c>
      <c r="N10" s="19" t="s">
        <v>42</v>
      </c>
      <c r="O10" s="19" t="s">
        <v>42</v>
      </c>
      <c r="P10" s="19" t="s">
        <v>42</v>
      </c>
      <c r="Q10" s="19" t="s">
        <v>42</v>
      </c>
      <c r="R10" s="19" t="s">
        <v>42</v>
      </c>
      <c r="S10" s="19" t="s">
        <v>42</v>
      </c>
      <c r="T10" s="19" t="s">
        <v>42</v>
      </c>
      <c r="U10" s="19" t="s">
        <v>42</v>
      </c>
      <c r="V10" s="19" t="s">
        <v>42</v>
      </c>
      <c r="W10" s="19">
        <v>1.5</v>
      </c>
      <c r="X10" s="19">
        <f t="shared" si="0"/>
        <v>43.5</v>
      </c>
    </row>
    <row r="11" spans="1:24" x14ac:dyDescent="0.55000000000000004">
      <c r="A11" s="37"/>
      <c r="B11" s="15">
        <v>45744</v>
      </c>
      <c r="C11" s="19">
        <v>7.5</v>
      </c>
      <c r="D11" s="19">
        <v>7.5</v>
      </c>
      <c r="E11" s="19">
        <v>7.5</v>
      </c>
      <c r="F11" s="19">
        <v>7.5</v>
      </c>
      <c r="G11" s="19" t="s">
        <v>42</v>
      </c>
      <c r="H11" s="19" t="s">
        <v>42</v>
      </c>
      <c r="I11" s="19" t="s">
        <v>42</v>
      </c>
      <c r="J11" s="19">
        <v>5.5</v>
      </c>
      <c r="K11" s="19" t="s">
        <v>42</v>
      </c>
      <c r="L11" s="19">
        <v>6.5</v>
      </c>
      <c r="M11" s="19" t="s">
        <v>42</v>
      </c>
      <c r="N11" s="19" t="s">
        <v>42</v>
      </c>
      <c r="O11" s="19" t="s">
        <v>42</v>
      </c>
      <c r="P11" s="19" t="s">
        <v>42</v>
      </c>
      <c r="Q11" s="19" t="s">
        <v>42</v>
      </c>
      <c r="R11" s="19" t="s">
        <v>42</v>
      </c>
      <c r="S11" s="19" t="s">
        <v>42</v>
      </c>
      <c r="T11" s="19">
        <v>2</v>
      </c>
      <c r="U11" s="19">
        <v>2</v>
      </c>
      <c r="V11" s="19" t="s">
        <v>42</v>
      </c>
      <c r="W11" s="19" t="s">
        <v>42</v>
      </c>
      <c r="X11" s="19">
        <f t="shared" si="0"/>
        <v>46</v>
      </c>
    </row>
    <row r="12" spans="1:24" x14ac:dyDescent="0.55000000000000004">
      <c r="A12" s="39" t="s">
        <v>13</v>
      </c>
      <c r="B12" s="15">
        <v>45566</v>
      </c>
      <c r="C12" s="19">
        <v>1</v>
      </c>
      <c r="D12" s="19">
        <v>1</v>
      </c>
      <c r="E12" s="19"/>
      <c r="F12" s="19"/>
      <c r="G12" s="19">
        <v>1</v>
      </c>
      <c r="H12" s="19"/>
      <c r="I12" s="19">
        <v>1</v>
      </c>
      <c r="J12" s="19">
        <v>1</v>
      </c>
      <c r="K12" s="19">
        <v>1</v>
      </c>
      <c r="L12" s="19"/>
      <c r="M12" s="19"/>
      <c r="N12" s="19">
        <v>1</v>
      </c>
      <c r="O12" s="19">
        <v>1</v>
      </c>
      <c r="P12" s="19"/>
      <c r="Q12" s="19"/>
      <c r="R12" s="19"/>
      <c r="S12" s="19"/>
      <c r="T12" s="19"/>
      <c r="U12" s="19"/>
      <c r="V12" s="19"/>
      <c r="W12" s="19"/>
      <c r="X12" s="19">
        <f t="shared" si="0"/>
        <v>8</v>
      </c>
    </row>
    <row r="13" spans="1:24" x14ac:dyDescent="0.55000000000000004">
      <c r="A13" s="42"/>
      <c r="B13" s="15">
        <v>45573</v>
      </c>
      <c r="C13" s="19">
        <v>1</v>
      </c>
      <c r="D13" s="19">
        <v>1</v>
      </c>
      <c r="E13" s="19"/>
      <c r="F13" s="19"/>
      <c r="G13" s="19">
        <v>1</v>
      </c>
      <c r="H13" s="19"/>
      <c r="I13" s="19">
        <v>1</v>
      </c>
      <c r="J13" s="19">
        <v>1</v>
      </c>
      <c r="K13" s="19">
        <v>1</v>
      </c>
      <c r="L13" s="19"/>
      <c r="M13" s="19"/>
      <c r="N13" s="19">
        <v>1</v>
      </c>
      <c r="O13" s="19">
        <v>1</v>
      </c>
      <c r="P13" s="19"/>
      <c r="Q13" s="19"/>
      <c r="R13" s="19"/>
      <c r="S13" s="19"/>
      <c r="T13" s="19"/>
      <c r="U13" s="19"/>
      <c r="V13" s="19"/>
      <c r="W13" s="19"/>
      <c r="X13" s="19">
        <f t="shared" si="0"/>
        <v>8</v>
      </c>
    </row>
    <row r="14" spans="1:24" x14ac:dyDescent="0.55000000000000004">
      <c r="A14" s="42"/>
      <c r="B14" s="15">
        <v>45580</v>
      </c>
      <c r="C14" s="19">
        <v>1</v>
      </c>
      <c r="D14" s="19">
        <v>1</v>
      </c>
      <c r="E14" s="19"/>
      <c r="F14" s="19"/>
      <c r="G14" s="19">
        <v>1</v>
      </c>
      <c r="H14" s="19"/>
      <c r="I14" s="19">
        <v>1</v>
      </c>
      <c r="J14" s="19"/>
      <c r="K14" s="19"/>
      <c r="L14" s="19"/>
      <c r="M14" s="19"/>
      <c r="N14" s="19">
        <v>1</v>
      </c>
      <c r="O14" s="19">
        <v>1</v>
      </c>
      <c r="P14" s="19"/>
      <c r="Q14" s="19"/>
      <c r="R14" s="19"/>
      <c r="S14" s="19"/>
      <c r="T14" s="19"/>
      <c r="U14" s="19"/>
      <c r="V14" s="19"/>
      <c r="W14" s="19"/>
      <c r="X14" s="19">
        <f t="shared" si="0"/>
        <v>6</v>
      </c>
    </row>
    <row r="15" spans="1:24" x14ac:dyDescent="0.55000000000000004">
      <c r="A15" s="42"/>
      <c r="B15" s="15">
        <v>45587</v>
      </c>
      <c r="C15" s="19">
        <v>1</v>
      </c>
      <c r="D15" s="19">
        <v>1</v>
      </c>
      <c r="E15" s="19"/>
      <c r="F15" s="19"/>
      <c r="G15" s="19">
        <v>1</v>
      </c>
      <c r="H15" s="19"/>
      <c r="I15" s="19">
        <v>1</v>
      </c>
      <c r="J15" s="19"/>
      <c r="K15" s="19">
        <v>1</v>
      </c>
      <c r="L15" s="19"/>
      <c r="M15" s="19"/>
      <c r="N15" s="19">
        <v>1</v>
      </c>
      <c r="O15" s="19">
        <v>1</v>
      </c>
      <c r="P15" s="19"/>
      <c r="Q15" s="19"/>
      <c r="R15" s="19"/>
      <c r="S15" s="19"/>
      <c r="T15" s="19"/>
      <c r="U15" s="19"/>
      <c r="V15" s="19"/>
      <c r="W15" s="19"/>
      <c r="X15" s="19">
        <f t="shared" si="0"/>
        <v>7</v>
      </c>
    </row>
    <row r="16" spans="1:24" x14ac:dyDescent="0.55000000000000004">
      <c r="A16" s="42"/>
      <c r="B16" s="15">
        <v>45594</v>
      </c>
      <c r="C16" s="19">
        <v>1</v>
      </c>
      <c r="D16" s="19">
        <v>1</v>
      </c>
      <c r="E16" s="19"/>
      <c r="F16" s="19"/>
      <c r="G16" s="19">
        <v>1</v>
      </c>
      <c r="H16" s="19"/>
      <c r="I16" s="19">
        <v>1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1</v>
      </c>
      <c r="P16" s="19"/>
      <c r="Q16" s="19"/>
      <c r="R16" s="19"/>
      <c r="S16" s="19"/>
      <c r="T16" s="19"/>
      <c r="U16" s="19"/>
      <c r="V16" s="19"/>
      <c r="W16" s="19"/>
      <c r="X16" s="19">
        <f t="shared" si="0"/>
        <v>10</v>
      </c>
    </row>
    <row r="17" spans="1:25" x14ac:dyDescent="0.55000000000000004">
      <c r="A17" s="42"/>
      <c r="B17" s="15">
        <v>45994</v>
      </c>
      <c r="C17" s="19">
        <v>1</v>
      </c>
      <c r="D17" s="19">
        <v>1</v>
      </c>
      <c r="E17" s="19"/>
      <c r="F17" s="19"/>
      <c r="G17" s="19">
        <v>1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>
        <f t="shared" si="0"/>
        <v>3</v>
      </c>
      <c r="Y17" t="s">
        <v>35</v>
      </c>
    </row>
    <row r="18" spans="1:25" x14ac:dyDescent="0.55000000000000004">
      <c r="A18" s="42"/>
      <c r="B18" s="15">
        <v>45630</v>
      </c>
      <c r="C18" s="19">
        <v>1</v>
      </c>
      <c r="D18" s="19">
        <v>1</v>
      </c>
      <c r="E18" s="19"/>
      <c r="F18" s="19"/>
      <c r="G18" s="19">
        <v>1</v>
      </c>
      <c r="H18" s="19"/>
      <c r="I18" s="19">
        <v>1</v>
      </c>
      <c r="J18" s="19">
        <v>1</v>
      </c>
      <c r="K18" s="19">
        <v>1</v>
      </c>
      <c r="L18" s="19">
        <v>1</v>
      </c>
      <c r="M18" s="19">
        <v>1</v>
      </c>
      <c r="N18" s="19">
        <v>1</v>
      </c>
      <c r="O18" s="19">
        <v>1</v>
      </c>
      <c r="P18" s="19"/>
      <c r="Q18" s="19"/>
      <c r="R18" s="19"/>
      <c r="S18" s="19"/>
      <c r="T18" s="19"/>
      <c r="U18" s="19"/>
      <c r="V18" s="19"/>
      <c r="W18" s="19"/>
      <c r="X18" s="19">
        <f t="shared" si="0"/>
        <v>10</v>
      </c>
    </row>
    <row r="19" spans="1:25" x14ac:dyDescent="0.55000000000000004">
      <c r="A19" s="42"/>
      <c r="B19" s="15">
        <v>45636</v>
      </c>
      <c r="C19" s="19">
        <v>1</v>
      </c>
      <c r="D19" s="19">
        <v>1</v>
      </c>
      <c r="E19" s="19"/>
      <c r="F19" s="19"/>
      <c r="G19" s="19">
        <v>1</v>
      </c>
      <c r="H19" s="19"/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1</v>
      </c>
      <c r="O19" s="19">
        <v>1</v>
      </c>
      <c r="P19" s="19"/>
      <c r="Q19" s="19"/>
      <c r="R19" s="19"/>
      <c r="S19" s="19"/>
      <c r="T19" s="19"/>
      <c r="U19" s="19"/>
      <c r="V19" s="19"/>
      <c r="W19" s="19"/>
      <c r="X19" s="19">
        <f t="shared" si="0"/>
        <v>10</v>
      </c>
    </row>
    <row r="20" spans="1:25" x14ac:dyDescent="0.55000000000000004">
      <c r="A20" s="42"/>
      <c r="B20" s="15">
        <v>45650</v>
      </c>
      <c r="C20" s="19">
        <v>1</v>
      </c>
      <c r="D20" s="19">
        <v>1</v>
      </c>
      <c r="E20" s="19"/>
      <c r="F20" s="19"/>
      <c r="G20" s="19">
        <v>1</v>
      </c>
      <c r="H20" s="19"/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/>
      <c r="Q20" s="19"/>
      <c r="R20" s="19"/>
      <c r="S20" s="19"/>
      <c r="T20" s="19"/>
      <c r="U20" s="19"/>
      <c r="V20" s="19"/>
      <c r="W20" s="19"/>
      <c r="X20" s="19">
        <f t="shared" si="0"/>
        <v>10</v>
      </c>
    </row>
    <row r="21" spans="1:25" x14ac:dyDescent="0.55000000000000004">
      <c r="A21" s="42"/>
      <c r="B21" s="15">
        <v>45664</v>
      </c>
      <c r="C21" s="19">
        <v>1</v>
      </c>
      <c r="D21" s="19">
        <v>1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>
        <f t="shared" si="0"/>
        <v>2</v>
      </c>
      <c r="Y21" t="s">
        <v>35</v>
      </c>
    </row>
    <row r="22" spans="1:25" x14ac:dyDescent="0.55000000000000004">
      <c r="A22" s="42"/>
      <c r="B22" s="15">
        <v>45665</v>
      </c>
      <c r="C22" s="19">
        <v>1</v>
      </c>
      <c r="D22" s="19">
        <v>1</v>
      </c>
      <c r="E22" s="19"/>
      <c r="F22" s="19"/>
      <c r="G22" s="19"/>
      <c r="H22" s="19"/>
      <c r="I22" s="19">
        <v>1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/>
      <c r="Q22" s="19"/>
      <c r="R22" s="19"/>
      <c r="S22" s="19"/>
      <c r="T22" s="19"/>
      <c r="U22" s="19"/>
      <c r="V22" s="19"/>
      <c r="W22" s="19"/>
      <c r="X22" s="19">
        <f t="shared" si="0"/>
        <v>9</v>
      </c>
    </row>
    <row r="23" spans="1:25" x14ac:dyDescent="0.55000000000000004">
      <c r="A23" s="42"/>
      <c r="B23" s="15">
        <v>45671</v>
      </c>
      <c r="C23" s="19">
        <v>1</v>
      </c>
      <c r="D23" s="19">
        <v>1</v>
      </c>
      <c r="E23" s="19"/>
      <c r="F23" s="19"/>
      <c r="G23" s="19"/>
      <c r="H23" s="19"/>
      <c r="I23" s="19">
        <v>1</v>
      </c>
      <c r="J23" s="19">
        <v>1</v>
      </c>
      <c r="K23" s="19">
        <v>1</v>
      </c>
      <c r="L23" s="19">
        <v>1</v>
      </c>
      <c r="M23" s="19">
        <v>1</v>
      </c>
      <c r="N23" s="19">
        <v>1</v>
      </c>
      <c r="O23" s="19">
        <v>1</v>
      </c>
      <c r="P23" s="19"/>
      <c r="Q23" s="19"/>
      <c r="R23" s="19"/>
      <c r="S23" s="19"/>
      <c r="T23" s="19"/>
      <c r="U23" s="19"/>
      <c r="V23" s="19"/>
      <c r="W23" s="19"/>
      <c r="X23" s="19">
        <f t="shared" si="0"/>
        <v>9</v>
      </c>
      <c r="Y23" t="s">
        <v>43</v>
      </c>
    </row>
    <row r="24" spans="1:25" x14ac:dyDescent="0.55000000000000004">
      <c r="A24" s="42"/>
      <c r="B24" s="15">
        <v>45678</v>
      </c>
      <c r="C24" s="19">
        <v>1</v>
      </c>
      <c r="D24" s="19">
        <v>1</v>
      </c>
      <c r="E24" s="19"/>
      <c r="F24" s="19"/>
      <c r="G24" s="19"/>
      <c r="H24" s="19"/>
      <c r="I24" s="19">
        <v>1</v>
      </c>
      <c r="J24" s="19">
        <v>1</v>
      </c>
      <c r="K24" s="19">
        <v>1</v>
      </c>
      <c r="L24" s="19">
        <v>1</v>
      </c>
      <c r="M24" s="19">
        <v>1</v>
      </c>
      <c r="N24" s="19">
        <v>1</v>
      </c>
      <c r="O24" s="19">
        <v>1</v>
      </c>
      <c r="P24" s="19"/>
      <c r="Q24" s="19"/>
      <c r="R24" s="19"/>
      <c r="S24" s="19"/>
      <c r="T24" s="19"/>
      <c r="U24" s="19"/>
      <c r="V24" s="19"/>
      <c r="W24" s="19"/>
      <c r="X24" s="19">
        <f t="shared" si="0"/>
        <v>9</v>
      </c>
      <c r="Y24" t="s">
        <v>43</v>
      </c>
    </row>
    <row r="25" spans="1:25" x14ac:dyDescent="0.55000000000000004">
      <c r="A25" s="42"/>
      <c r="B25" s="15">
        <v>45685</v>
      </c>
      <c r="C25" s="19">
        <v>1</v>
      </c>
      <c r="D25" s="19">
        <v>1</v>
      </c>
      <c r="E25" s="19"/>
      <c r="F25" s="19"/>
      <c r="G25" s="19"/>
      <c r="H25" s="19"/>
      <c r="I25" s="19">
        <v>1</v>
      </c>
      <c r="J25" s="19">
        <v>1</v>
      </c>
      <c r="K25" s="19">
        <v>1</v>
      </c>
      <c r="L25" s="19">
        <v>1</v>
      </c>
      <c r="M25" s="19">
        <v>1</v>
      </c>
      <c r="N25" s="19">
        <v>1</v>
      </c>
      <c r="O25" s="19">
        <v>1</v>
      </c>
      <c r="P25" s="19"/>
      <c r="Q25" s="19"/>
      <c r="R25" s="19"/>
      <c r="S25" s="19"/>
      <c r="T25" s="19"/>
      <c r="U25" s="19"/>
      <c r="V25" s="19"/>
      <c r="W25" s="19"/>
      <c r="X25" s="19">
        <f t="shared" si="0"/>
        <v>9</v>
      </c>
    </row>
    <row r="26" spans="1:25" x14ac:dyDescent="0.55000000000000004">
      <c r="A26" s="42"/>
      <c r="B26" s="15">
        <v>45692</v>
      </c>
      <c r="C26" s="19">
        <v>1</v>
      </c>
      <c r="D26" s="19">
        <v>1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>
        <f t="shared" si="0"/>
        <v>2</v>
      </c>
      <c r="Y26" t="s">
        <v>35</v>
      </c>
    </row>
    <row r="27" spans="1:25" x14ac:dyDescent="0.55000000000000004">
      <c r="A27" s="42"/>
      <c r="B27" s="15">
        <v>45693</v>
      </c>
      <c r="C27" s="19">
        <v>1</v>
      </c>
      <c r="D27" s="19">
        <v>1</v>
      </c>
      <c r="E27" s="19">
        <v>1</v>
      </c>
      <c r="F27" s="19"/>
      <c r="G27" s="19"/>
      <c r="H27" s="19"/>
      <c r="I27" s="19">
        <v>1</v>
      </c>
      <c r="J27" s="19">
        <v>1</v>
      </c>
      <c r="K27" s="19">
        <v>1</v>
      </c>
      <c r="L27" s="19">
        <v>1</v>
      </c>
      <c r="M27" s="19">
        <v>1</v>
      </c>
      <c r="N27" s="19">
        <v>1</v>
      </c>
      <c r="O27" s="19">
        <v>1</v>
      </c>
      <c r="P27" s="19"/>
      <c r="Q27" s="19"/>
      <c r="R27" s="19"/>
      <c r="S27" s="19"/>
      <c r="T27" s="19"/>
      <c r="U27" s="19"/>
      <c r="V27" s="19"/>
      <c r="W27" s="19"/>
      <c r="X27" s="19">
        <f t="shared" si="0"/>
        <v>10</v>
      </c>
    </row>
    <row r="28" spans="1:25" x14ac:dyDescent="0.55000000000000004">
      <c r="A28" s="42"/>
      <c r="B28" s="15">
        <v>45700</v>
      </c>
      <c r="C28" s="19">
        <v>1</v>
      </c>
      <c r="D28" s="19">
        <v>1</v>
      </c>
      <c r="E28" s="19">
        <v>1</v>
      </c>
      <c r="F28" s="19"/>
      <c r="G28" s="19"/>
      <c r="H28" s="19"/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/>
      <c r="Q28" s="19"/>
      <c r="R28" s="19"/>
      <c r="S28" s="19"/>
      <c r="T28" s="19"/>
      <c r="U28" s="19"/>
      <c r="V28" s="19"/>
      <c r="W28" s="19"/>
      <c r="X28" s="19">
        <f t="shared" si="0"/>
        <v>10</v>
      </c>
    </row>
    <row r="29" spans="1:25" x14ac:dyDescent="0.55000000000000004">
      <c r="A29" s="42"/>
      <c r="B29" s="15">
        <v>45713</v>
      </c>
      <c r="C29" s="19">
        <v>1</v>
      </c>
      <c r="D29" s="19">
        <v>1</v>
      </c>
      <c r="E29" s="19">
        <v>1</v>
      </c>
      <c r="F29" s="19"/>
      <c r="G29" s="19"/>
      <c r="H29" s="19"/>
      <c r="I29" s="19">
        <v>1</v>
      </c>
      <c r="J29" s="19">
        <v>1</v>
      </c>
      <c r="K29" s="19">
        <v>1</v>
      </c>
      <c r="L29" s="19">
        <v>1</v>
      </c>
      <c r="M29" s="19">
        <v>1</v>
      </c>
      <c r="N29" s="19">
        <v>1</v>
      </c>
      <c r="O29" s="19">
        <v>1</v>
      </c>
      <c r="P29" s="19"/>
      <c r="Q29" s="19"/>
      <c r="R29" s="19"/>
      <c r="S29" s="19"/>
      <c r="T29" s="19"/>
      <c r="U29" s="19"/>
      <c r="V29" s="19"/>
      <c r="W29" s="19"/>
      <c r="X29" s="19">
        <f t="shared" si="0"/>
        <v>10</v>
      </c>
      <c r="Y29" t="s">
        <v>43</v>
      </c>
    </row>
    <row r="30" spans="1:25" x14ac:dyDescent="0.55000000000000004">
      <c r="A30" s="42"/>
      <c r="B30" s="15">
        <v>45720</v>
      </c>
      <c r="C30" s="19">
        <v>1</v>
      </c>
      <c r="D30" s="19">
        <v>1</v>
      </c>
      <c r="E30" s="19">
        <v>1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>
        <f t="shared" si="0"/>
        <v>3</v>
      </c>
      <c r="Y30" t="s">
        <v>35</v>
      </c>
    </row>
    <row r="31" spans="1:25" x14ac:dyDescent="0.55000000000000004">
      <c r="A31" s="42"/>
      <c r="B31" s="15">
        <v>45721</v>
      </c>
      <c r="C31" s="19">
        <v>1</v>
      </c>
      <c r="D31" s="19">
        <v>1</v>
      </c>
      <c r="E31" s="19">
        <v>1</v>
      </c>
      <c r="F31" s="19">
        <v>1</v>
      </c>
      <c r="G31" s="19"/>
      <c r="H31" s="19"/>
      <c r="I31" s="19">
        <v>1</v>
      </c>
      <c r="J31" s="19">
        <v>1</v>
      </c>
      <c r="K31" s="19">
        <v>1</v>
      </c>
      <c r="L31" s="19">
        <v>1</v>
      </c>
      <c r="M31" s="19">
        <v>1</v>
      </c>
      <c r="N31" s="19">
        <v>1</v>
      </c>
      <c r="O31" s="19">
        <v>1</v>
      </c>
      <c r="P31" s="19"/>
      <c r="Q31" s="19"/>
      <c r="R31" s="19"/>
      <c r="S31" s="19"/>
      <c r="T31" s="19"/>
      <c r="U31" s="19"/>
      <c r="V31" s="19"/>
      <c r="W31" s="19"/>
      <c r="X31" s="19">
        <f t="shared" si="0"/>
        <v>11</v>
      </c>
      <c r="Y31" t="s">
        <v>43</v>
      </c>
    </row>
    <row r="32" spans="1:25" x14ac:dyDescent="0.55000000000000004">
      <c r="A32" s="42"/>
      <c r="B32" s="15">
        <v>45727</v>
      </c>
      <c r="C32" s="19">
        <v>1</v>
      </c>
      <c r="D32" s="19">
        <v>1</v>
      </c>
      <c r="E32" s="19">
        <v>1</v>
      </c>
      <c r="F32" s="19">
        <v>1</v>
      </c>
      <c r="G32" s="19"/>
      <c r="H32" s="19"/>
      <c r="I32" s="19">
        <v>1</v>
      </c>
      <c r="J32" s="19">
        <v>1</v>
      </c>
      <c r="K32" s="19">
        <v>1</v>
      </c>
      <c r="L32" s="19">
        <v>1</v>
      </c>
      <c r="M32" s="19">
        <v>1</v>
      </c>
      <c r="N32" s="19">
        <v>1</v>
      </c>
      <c r="O32" s="19">
        <v>1</v>
      </c>
      <c r="P32" s="19"/>
      <c r="Q32" s="19"/>
      <c r="R32" s="19"/>
      <c r="S32" s="19"/>
      <c r="T32" s="19"/>
      <c r="U32" s="19"/>
      <c r="V32" s="19"/>
      <c r="W32" s="19"/>
      <c r="X32" s="19">
        <f t="shared" si="0"/>
        <v>11</v>
      </c>
      <c r="Y32" t="s">
        <v>43</v>
      </c>
    </row>
    <row r="33" spans="1:25" x14ac:dyDescent="0.55000000000000004">
      <c r="A33" s="42"/>
      <c r="B33" s="15">
        <v>45734</v>
      </c>
      <c r="C33" s="19">
        <v>1</v>
      </c>
      <c r="D33" s="19">
        <v>1</v>
      </c>
      <c r="E33" s="19"/>
      <c r="F33" s="19">
        <v>1</v>
      </c>
      <c r="G33" s="19"/>
      <c r="H33" s="19"/>
      <c r="I33" s="19">
        <v>1</v>
      </c>
      <c r="J33" s="19">
        <v>1</v>
      </c>
      <c r="K33" s="19">
        <v>1</v>
      </c>
      <c r="L33" s="19">
        <v>1</v>
      </c>
      <c r="M33" s="19">
        <v>1</v>
      </c>
      <c r="N33" s="19">
        <v>1</v>
      </c>
      <c r="O33" s="19">
        <v>1</v>
      </c>
      <c r="P33" s="19"/>
      <c r="Q33" s="19"/>
      <c r="R33" s="19"/>
      <c r="S33" s="19"/>
      <c r="T33" s="19"/>
      <c r="U33" s="19"/>
      <c r="V33" s="19"/>
      <c r="W33" s="19"/>
      <c r="X33" s="19">
        <f t="shared" si="0"/>
        <v>10</v>
      </c>
      <c r="Y33" t="s">
        <v>43</v>
      </c>
    </row>
    <row r="34" spans="1:25" x14ac:dyDescent="0.55000000000000004">
      <c r="A34" s="39" t="s">
        <v>33</v>
      </c>
      <c r="B34" s="17">
        <v>45614</v>
      </c>
      <c r="C34" s="20">
        <v>3</v>
      </c>
      <c r="D34" s="20">
        <v>3</v>
      </c>
      <c r="E34" s="20"/>
      <c r="F34" s="20"/>
      <c r="G34" s="20">
        <v>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19">
        <f t="shared" si="0"/>
        <v>9</v>
      </c>
    </row>
    <row r="35" spans="1:25" x14ac:dyDescent="0.55000000000000004">
      <c r="A35" s="40"/>
      <c r="B35" s="17">
        <v>45615</v>
      </c>
      <c r="C35" s="20">
        <v>3</v>
      </c>
      <c r="D35" s="20">
        <v>3</v>
      </c>
      <c r="E35" s="20"/>
      <c r="F35" s="20"/>
      <c r="G35" s="20">
        <v>3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19">
        <f t="shared" si="0"/>
        <v>9</v>
      </c>
    </row>
    <row r="36" spans="1:25" x14ac:dyDescent="0.55000000000000004">
      <c r="A36" s="40"/>
      <c r="B36" s="17">
        <v>45616</v>
      </c>
      <c r="C36" s="20">
        <v>3</v>
      </c>
      <c r="D36" s="20">
        <v>3</v>
      </c>
      <c r="E36" s="20"/>
      <c r="F36" s="20"/>
      <c r="G36" s="20">
        <v>3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19">
        <f t="shared" ref="X36:X45" si="1">SUM(C36:W36)</f>
        <v>9</v>
      </c>
    </row>
    <row r="37" spans="1:25" x14ac:dyDescent="0.55000000000000004">
      <c r="A37" s="40"/>
      <c r="B37" s="17">
        <v>45617</v>
      </c>
      <c r="C37" s="20">
        <v>3</v>
      </c>
      <c r="D37" s="20">
        <v>3</v>
      </c>
      <c r="E37" s="20"/>
      <c r="F37" s="20"/>
      <c r="G37" s="20">
        <v>3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19">
        <f t="shared" si="1"/>
        <v>9</v>
      </c>
    </row>
    <row r="38" spans="1:25" x14ac:dyDescent="0.55000000000000004">
      <c r="A38" s="41"/>
      <c r="B38" s="17">
        <v>45618</v>
      </c>
      <c r="C38" s="20">
        <v>3</v>
      </c>
      <c r="D38" s="20">
        <v>3</v>
      </c>
      <c r="E38" s="20"/>
      <c r="F38" s="20"/>
      <c r="G38" s="20">
        <v>3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19">
        <f t="shared" si="1"/>
        <v>9</v>
      </c>
    </row>
    <row r="39" spans="1:25" x14ac:dyDescent="0.55000000000000004">
      <c r="A39" s="39" t="s">
        <v>34</v>
      </c>
      <c r="B39" s="17">
        <v>45705</v>
      </c>
      <c r="C39" s="20">
        <v>4</v>
      </c>
      <c r="D39" s="20">
        <v>4</v>
      </c>
      <c r="E39" s="20">
        <v>4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19">
        <f t="shared" si="1"/>
        <v>12</v>
      </c>
    </row>
    <row r="40" spans="1:25" x14ac:dyDescent="0.55000000000000004">
      <c r="A40" s="40"/>
      <c r="B40" s="17">
        <v>45706</v>
      </c>
      <c r="C40" s="20">
        <v>4</v>
      </c>
      <c r="D40" s="20">
        <v>4</v>
      </c>
      <c r="E40" s="20">
        <v>4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19">
        <f t="shared" si="1"/>
        <v>12</v>
      </c>
    </row>
    <row r="41" spans="1:25" x14ac:dyDescent="0.55000000000000004">
      <c r="A41" s="40"/>
      <c r="B41" s="17">
        <v>45707</v>
      </c>
      <c r="C41" s="20">
        <v>4</v>
      </c>
      <c r="D41" s="20">
        <v>4</v>
      </c>
      <c r="E41" s="20">
        <v>4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19">
        <f t="shared" si="1"/>
        <v>12</v>
      </c>
    </row>
    <row r="42" spans="1:25" x14ac:dyDescent="0.55000000000000004">
      <c r="A42" s="40"/>
      <c r="B42" s="17">
        <v>45708</v>
      </c>
      <c r="C42" s="20">
        <v>4</v>
      </c>
      <c r="D42" s="20">
        <v>4</v>
      </c>
      <c r="E42" s="20">
        <v>4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9">
        <f t="shared" si="1"/>
        <v>12</v>
      </c>
    </row>
    <row r="43" spans="1:25" x14ac:dyDescent="0.55000000000000004">
      <c r="A43" s="41"/>
      <c r="B43" s="17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9">
        <f t="shared" si="1"/>
        <v>0</v>
      </c>
    </row>
    <row r="44" spans="1:25" ht="54.5" thickBot="1" x14ac:dyDescent="0.6">
      <c r="A44" s="4" t="s">
        <v>16</v>
      </c>
      <c r="B44" s="18" t="s">
        <v>30</v>
      </c>
      <c r="C44" s="21">
        <f>25*0.5</f>
        <v>12.5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>
        <f t="shared" si="1"/>
        <v>12.5</v>
      </c>
    </row>
    <row r="45" spans="1:25" ht="18.5" thickTop="1" x14ac:dyDescent="0.55000000000000004">
      <c r="A45" s="38" t="s">
        <v>10</v>
      </c>
      <c r="B45" s="38"/>
      <c r="C45" s="22">
        <f>SUM(C8:C44)</f>
        <v>95.5</v>
      </c>
      <c r="D45" s="22">
        <f>SUM(D8:D44)</f>
        <v>83</v>
      </c>
      <c r="E45" s="22">
        <f t="shared" ref="E45:M45" si="2">SUM(E8:E44)</f>
        <v>52</v>
      </c>
      <c r="F45" s="22">
        <f t="shared" si="2"/>
        <v>33</v>
      </c>
      <c r="G45" s="22">
        <f t="shared" si="2"/>
        <v>24</v>
      </c>
      <c r="H45" s="22">
        <f t="shared" si="2"/>
        <v>3.5</v>
      </c>
      <c r="I45" s="22">
        <f t="shared" si="2"/>
        <v>18</v>
      </c>
      <c r="J45" s="22">
        <f t="shared" si="2"/>
        <v>33.5</v>
      </c>
      <c r="K45" s="22">
        <f t="shared" si="2"/>
        <v>17</v>
      </c>
      <c r="L45" s="22">
        <f t="shared" si="2"/>
        <v>37.5</v>
      </c>
      <c r="M45" s="22">
        <f t="shared" si="2"/>
        <v>14</v>
      </c>
      <c r="N45" s="22">
        <f t="shared" ref="N45:Q45" si="3">SUM(N8:N44)</f>
        <v>18</v>
      </c>
      <c r="O45" s="22">
        <f t="shared" si="3"/>
        <v>18</v>
      </c>
      <c r="P45" s="22">
        <f t="shared" si="3"/>
        <v>0</v>
      </c>
      <c r="Q45" s="22">
        <f t="shared" si="3"/>
        <v>0</v>
      </c>
      <c r="R45" s="22">
        <f>SUM(R8:R44)</f>
        <v>0</v>
      </c>
      <c r="S45" s="22">
        <f>SUM(S8:S44)</f>
        <v>0</v>
      </c>
      <c r="T45" s="22"/>
      <c r="U45" s="22"/>
      <c r="V45" s="22"/>
      <c r="W45" s="22"/>
      <c r="X45" s="22">
        <f t="shared" si="1"/>
        <v>447</v>
      </c>
    </row>
  </sheetData>
  <mergeCells count="9">
    <mergeCell ref="T2:W2"/>
    <mergeCell ref="H2:S2"/>
    <mergeCell ref="C2:G2"/>
    <mergeCell ref="A8:A11"/>
    <mergeCell ref="A45:B45"/>
    <mergeCell ref="A4:A7"/>
    <mergeCell ref="A34:A38"/>
    <mergeCell ref="A39:A43"/>
    <mergeCell ref="A12:A3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7" sqref="A27:B27"/>
    </sheetView>
  </sheetViews>
  <sheetFormatPr defaultRowHeight="18" x14ac:dyDescent="0.55000000000000004"/>
  <cols>
    <col min="1" max="1" width="28.58203125" customWidth="1"/>
    <col min="2" max="2" width="12.33203125" customWidth="1"/>
    <col min="3" max="15" width="9.5" customWidth="1"/>
    <col min="16" max="16" width="8.83203125" customWidth="1"/>
    <col min="17" max="17" width="8.58203125" customWidth="1"/>
    <col min="18" max="18" width="12.08203125" customWidth="1"/>
    <col min="19" max="19" width="9.5" customWidth="1"/>
  </cols>
  <sheetData>
    <row r="1" spans="1:19" x14ac:dyDescent="0.55000000000000004">
      <c r="A1" s="14" t="s">
        <v>21</v>
      </c>
      <c r="S1" t="s">
        <v>25</v>
      </c>
    </row>
    <row r="2" spans="1:19" x14ac:dyDescent="0.55000000000000004">
      <c r="C2" s="30" t="s">
        <v>8</v>
      </c>
      <c r="D2" s="31"/>
      <c r="E2" s="32"/>
      <c r="F2" s="30" t="s">
        <v>22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</row>
    <row r="3" spans="1:19" x14ac:dyDescent="0.55000000000000004">
      <c r="B3" s="1" t="s">
        <v>7</v>
      </c>
      <c r="C3" s="11" t="s">
        <v>0</v>
      </c>
      <c r="D3" s="2" t="s">
        <v>14</v>
      </c>
      <c r="E3" s="2" t="s">
        <v>1</v>
      </c>
      <c r="F3" s="2" t="s">
        <v>9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11</v>
      </c>
      <c r="M3" s="2" t="s">
        <v>12</v>
      </c>
      <c r="N3" s="2" t="s">
        <v>18</v>
      </c>
      <c r="O3" s="2" t="s">
        <v>19</v>
      </c>
      <c r="P3" s="2" t="s">
        <v>20</v>
      </c>
      <c r="Q3" s="2" t="s">
        <v>23</v>
      </c>
      <c r="R3" s="2" t="s">
        <v>24</v>
      </c>
      <c r="S3" s="8" t="s">
        <v>10</v>
      </c>
    </row>
    <row r="4" spans="1:19" x14ac:dyDescent="0.55000000000000004">
      <c r="A4" s="36" t="s">
        <v>17</v>
      </c>
      <c r="B4" s="3">
        <v>45475</v>
      </c>
      <c r="C4" s="1">
        <v>4</v>
      </c>
      <c r="D4" s="1">
        <v>4</v>
      </c>
      <c r="E4" s="1">
        <v>4</v>
      </c>
      <c r="F4" s="1">
        <v>4</v>
      </c>
      <c r="G4" s="1">
        <v>4</v>
      </c>
      <c r="H4" s="1">
        <v>4</v>
      </c>
      <c r="I4" s="1">
        <v>4</v>
      </c>
      <c r="J4" s="1">
        <v>4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/>
      <c r="R4" s="1"/>
      <c r="S4" s="1">
        <f>SUM(C4:R4)</f>
        <v>56</v>
      </c>
    </row>
    <row r="5" spans="1:19" x14ac:dyDescent="0.55000000000000004">
      <c r="A5" s="37"/>
      <c r="B5" s="3">
        <v>45476</v>
      </c>
      <c r="C5" s="1">
        <v>7.5</v>
      </c>
      <c r="D5" s="1">
        <v>7.5</v>
      </c>
      <c r="E5" s="1">
        <v>7.5</v>
      </c>
      <c r="F5" s="1">
        <v>6</v>
      </c>
      <c r="G5" s="1">
        <v>6</v>
      </c>
      <c r="H5" s="1">
        <v>7.5</v>
      </c>
      <c r="I5" s="1">
        <v>6</v>
      </c>
      <c r="J5" s="1">
        <v>6</v>
      </c>
      <c r="K5" s="1">
        <v>6</v>
      </c>
      <c r="L5" s="1">
        <v>6</v>
      </c>
      <c r="M5" s="1">
        <v>6</v>
      </c>
      <c r="N5" s="1">
        <v>6</v>
      </c>
      <c r="O5" s="1">
        <v>6</v>
      </c>
      <c r="P5" s="1">
        <v>6</v>
      </c>
      <c r="Q5" s="1"/>
      <c r="R5" s="1"/>
      <c r="S5" s="1">
        <f t="shared" ref="S5:S26" si="0">SUM(C5:R5)</f>
        <v>90</v>
      </c>
    </row>
    <row r="6" spans="1:19" x14ac:dyDescent="0.55000000000000004">
      <c r="A6" s="37"/>
      <c r="B6" s="3">
        <v>45477</v>
      </c>
      <c r="C6" s="1">
        <v>7.5</v>
      </c>
      <c r="D6" s="1">
        <v>7.5</v>
      </c>
      <c r="E6" s="1">
        <v>7.5</v>
      </c>
      <c r="F6" s="1">
        <v>7.5</v>
      </c>
      <c r="G6" s="1">
        <v>7.5</v>
      </c>
      <c r="H6" s="1">
        <v>7.5</v>
      </c>
      <c r="I6" s="1">
        <v>7.5</v>
      </c>
      <c r="J6" s="1">
        <v>7.5</v>
      </c>
      <c r="K6" s="1">
        <v>7.5</v>
      </c>
      <c r="L6" s="1">
        <v>7.5</v>
      </c>
      <c r="M6" s="1">
        <v>7.5</v>
      </c>
      <c r="N6" s="1">
        <v>7.5</v>
      </c>
      <c r="O6" s="1">
        <v>7.5</v>
      </c>
      <c r="P6" s="1">
        <v>7.5</v>
      </c>
      <c r="Q6" s="1"/>
      <c r="R6" s="1"/>
      <c r="S6" s="1">
        <f t="shared" si="0"/>
        <v>105</v>
      </c>
    </row>
    <row r="7" spans="1:19" x14ac:dyDescent="0.55000000000000004">
      <c r="A7" s="37"/>
      <c r="B7" s="3">
        <v>45478</v>
      </c>
      <c r="C7" s="1">
        <v>7.5</v>
      </c>
      <c r="D7" s="1">
        <v>6</v>
      </c>
      <c r="E7" s="1">
        <v>6</v>
      </c>
      <c r="F7" s="1">
        <v>6</v>
      </c>
      <c r="G7" s="1">
        <v>6</v>
      </c>
      <c r="H7" s="1">
        <v>6</v>
      </c>
      <c r="I7" s="1">
        <v>6</v>
      </c>
      <c r="J7" s="1">
        <v>6</v>
      </c>
      <c r="K7" s="1">
        <v>6</v>
      </c>
      <c r="L7" s="1">
        <v>6</v>
      </c>
      <c r="M7" s="1">
        <v>6</v>
      </c>
      <c r="N7" s="1">
        <v>6</v>
      </c>
      <c r="O7" s="1">
        <v>6</v>
      </c>
      <c r="P7" s="1">
        <v>6</v>
      </c>
      <c r="Q7" s="1">
        <v>2</v>
      </c>
      <c r="R7" s="1">
        <v>2</v>
      </c>
      <c r="S7" s="1">
        <f t="shared" si="0"/>
        <v>89.5</v>
      </c>
    </row>
    <row r="8" spans="1:19" x14ac:dyDescent="0.55000000000000004">
      <c r="A8" s="36" t="s">
        <v>26</v>
      </c>
      <c r="B8" s="3">
        <v>45546</v>
      </c>
      <c r="C8" s="1">
        <v>2</v>
      </c>
      <c r="D8" s="1">
        <v>2</v>
      </c>
      <c r="E8" s="1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>
        <f t="shared" si="0"/>
        <v>6</v>
      </c>
    </row>
    <row r="9" spans="1:19" x14ac:dyDescent="0.55000000000000004">
      <c r="A9" s="37"/>
      <c r="B9" s="3">
        <v>45555</v>
      </c>
      <c r="C9" s="1">
        <v>1</v>
      </c>
      <c r="D9" s="1"/>
      <c r="E9" s="1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f t="shared" si="0"/>
        <v>2</v>
      </c>
    </row>
    <row r="10" spans="1:19" x14ac:dyDescent="0.55000000000000004">
      <c r="A10" s="36" t="s">
        <v>13</v>
      </c>
      <c r="B10" s="3">
        <v>45385</v>
      </c>
      <c r="C10" s="1">
        <v>1</v>
      </c>
      <c r="D10" s="1">
        <v>1</v>
      </c>
      <c r="E10" s="1">
        <v>1</v>
      </c>
      <c r="F10" s="1"/>
      <c r="G10" s="1"/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f t="shared" si="0"/>
        <v>4</v>
      </c>
    </row>
    <row r="11" spans="1:19" x14ac:dyDescent="0.55000000000000004">
      <c r="A11" s="36"/>
      <c r="B11" s="3">
        <v>45392</v>
      </c>
      <c r="C11" s="1">
        <v>1</v>
      </c>
      <c r="D11" s="1">
        <v>1</v>
      </c>
      <c r="E11" s="1">
        <v>1</v>
      </c>
      <c r="F11" s="1"/>
      <c r="G11" s="1">
        <v>1</v>
      </c>
      <c r="H11" s="1">
        <v>1</v>
      </c>
      <c r="I11" s="1">
        <v>1</v>
      </c>
      <c r="J11" s="1"/>
      <c r="K11" s="1"/>
      <c r="L11" s="1">
        <v>1</v>
      </c>
      <c r="M11" s="1">
        <v>1</v>
      </c>
      <c r="N11" s="1"/>
      <c r="O11" s="1"/>
      <c r="P11" s="1"/>
      <c r="Q11" s="1"/>
      <c r="R11" s="1"/>
      <c r="S11" s="1">
        <f t="shared" si="0"/>
        <v>8</v>
      </c>
    </row>
    <row r="12" spans="1:19" x14ac:dyDescent="0.55000000000000004">
      <c r="A12" s="36"/>
      <c r="B12" s="3">
        <v>45398</v>
      </c>
      <c r="C12" s="1">
        <v>1</v>
      </c>
      <c r="D12" s="1">
        <v>1</v>
      </c>
      <c r="E12" s="1">
        <v>1</v>
      </c>
      <c r="F12" s="1"/>
      <c r="G12" s="1">
        <v>1</v>
      </c>
      <c r="H12" s="1"/>
      <c r="I12" s="1">
        <v>1</v>
      </c>
      <c r="J12" s="1"/>
      <c r="K12" s="1"/>
      <c r="L12" s="1">
        <v>1</v>
      </c>
      <c r="M12" s="1">
        <v>1</v>
      </c>
      <c r="N12" s="1"/>
      <c r="O12" s="1"/>
      <c r="P12" s="1"/>
      <c r="Q12" s="1"/>
      <c r="R12" s="1"/>
      <c r="S12" s="1">
        <f t="shared" si="0"/>
        <v>7</v>
      </c>
    </row>
    <row r="13" spans="1:19" x14ac:dyDescent="0.55000000000000004">
      <c r="A13" s="36"/>
      <c r="B13" s="3">
        <v>45405</v>
      </c>
      <c r="C13" s="1">
        <v>1</v>
      </c>
      <c r="D13" s="1">
        <v>1</v>
      </c>
      <c r="E13" s="1">
        <v>1</v>
      </c>
      <c r="F13" s="1"/>
      <c r="G13" s="1">
        <v>1</v>
      </c>
      <c r="H13" s="1"/>
      <c r="I13" s="1">
        <v>1</v>
      </c>
      <c r="J13" s="1"/>
      <c r="K13" s="1"/>
      <c r="L13" s="1">
        <v>1</v>
      </c>
      <c r="M13" s="1">
        <v>1</v>
      </c>
      <c r="N13" s="1"/>
      <c r="O13" s="1"/>
      <c r="P13" s="1"/>
      <c r="Q13" s="1"/>
      <c r="R13" s="1"/>
      <c r="S13" s="1">
        <f t="shared" si="0"/>
        <v>7</v>
      </c>
    </row>
    <row r="14" spans="1:19" x14ac:dyDescent="0.55000000000000004">
      <c r="A14" s="36"/>
      <c r="B14" s="3">
        <v>45412</v>
      </c>
      <c r="C14" s="1">
        <v>1</v>
      </c>
      <c r="D14" s="1">
        <v>1</v>
      </c>
      <c r="E14" s="1">
        <v>1</v>
      </c>
      <c r="F14" s="1"/>
      <c r="G14" s="1">
        <v>1</v>
      </c>
      <c r="H14" s="1">
        <v>1</v>
      </c>
      <c r="I14" s="1">
        <v>1</v>
      </c>
      <c r="J14" s="1"/>
      <c r="K14" s="1"/>
      <c r="L14" s="1"/>
      <c r="M14" s="1">
        <v>1</v>
      </c>
      <c r="N14" s="1"/>
      <c r="O14" s="1"/>
      <c r="P14" s="1"/>
      <c r="Q14" s="1"/>
      <c r="R14" s="1"/>
      <c r="S14" s="1">
        <f t="shared" si="0"/>
        <v>7</v>
      </c>
    </row>
    <row r="15" spans="1:19" x14ac:dyDescent="0.55000000000000004">
      <c r="A15" s="36"/>
      <c r="B15" s="3">
        <v>45419</v>
      </c>
      <c r="C15" s="9">
        <v>1</v>
      </c>
      <c r="D15" s="1">
        <v>1</v>
      </c>
      <c r="E15" s="10">
        <v>1</v>
      </c>
      <c r="F15" s="1"/>
      <c r="G15" s="1">
        <v>1</v>
      </c>
      <c r="H15" s="1">
        <v>1</v>
      </c>
      <c r="I15" s="1">
        <v>1</v>
      </c>
      <c r="J15" s="1"/>
      <c r="K15" s="1"/>
      <c r="L15" s="1">
        <v>1</v>
      </c>
      <c r="M15" s="1">
        <v>1</v>
      </c>
      <c r="N15" s="1"/>
      <c r="O15" s="1"/>
      <c r="P15" s="1"/>
      <c r="Q15" s="1"/>
      <c r="R15" s="1"/>
      <c r="S15" s="1">
        <f t="shared" si="0"/>
        <v>8</v>
      </c>
    </row>
    <row r="16" spans="1:19" x14ac:dyDescent="0.55000000000000004">
      <c r="A16" s="36"/>
      <c r="B16" s="3">
        <v>45440</v>
      </c>
      <c r="C16" s="1">
        <v>1</v>
      </c>
      <c r="D16" s="1">
        <v>1</v>
      </c>
      <c r="E16" s="1">
        <v>1</v>
      </c>
      <c r="F16" s="1"/>
      <c r="G16" s="1">
        <v>1</v>
      </c>
      <c r="H16" s="1">
        <v>1</v>
      </c>
      <c r="I16" s="1">
        <v>1</v>
      </c>
      <c r="J16" s="1"/>
      <c r="K16" s="1"/>
      <c r="L16" s="1">
        <v>1</v>
      </c>
      <c r="M16" s="1">
        <v>1</v>
      </c>
      <c r="N16" s="1"/>
      <c r="O16" s="1"/>
      <c r="P16" s="1"/>
      <c r="Q16" s="1"/>
      <c r="R16" s="1"/>
      <c r="S16" s="1">
        <f t="shared" si="0"/>
        <v>8</v>
      </c>
    </row>
    <row r="17" spans="1:19" x14ac:dyDescent="0.55000000000000004">
      <c r="A17" s="36"/>
      <c r="B17" s="3">
        <v>45447</v>
      </c>
      <c r="C17" s="1">
        <v>1</v>
      </c>
      <c r="D17" s="1">
        <v>1</v>
      </c>
      <c r="E17" s="1">
        <v>1</v>
      </c>
      <c r="F17" s="1"/>
      <c r="G17" s="1">
        <v>1</v>
      </c>
      <c r="H17" s="1">
        <v>1</v>
      </c>
      <c r="I17" s="1"/>
      <c r="J17" s="1"/>
      <c r="K17" s="1"/>
      <c r="L17" s="1">
        <v>1</v>
      </c>
      <c r="M17" s="1">
        <v>1</v>
      </c>
      <c r="N17" s="1"/>
      <c r="O17" s="1"/>
      <c r="P17" s="1"/>
      <c r="Q17" s="1"/>
      <c r="R17" s="1"/>
      <c r="S17" s="1">
        <f t="shared" si="0"/>
        <v>7</v>
      </c>
    </row>
    <row r="18" spans="1:19" x14ac:dyDescent="0.55000000000000004">
      <c r="A18" s="36"/>
      <c r="B18" s="3">
        <v>45454</v>
      </c>
      <c r="C18" s="1">
        <v>1</v>
      </c>
      <c r="D18" s="1">
        <v>1</v>
      </c>
      <c r="E18" s="1">
        <v>1</v>
      </c>
      <c r="F18" s="1"/>
      <c r="G18" s="1">
        <v>1</v>
      </c>
      <c r="H18" s="1">
        <v>1</v>
      </c>
      <c r="I18" s="1">
        <v>1</v>
      </c>
      <c r="J18" s="1"/>
      <c r="K18" s="1"/>
      <c r="L18" s="1">
        <v>1</v>
      </c>
      <c r="M18" s="1">
        <v>1</v>
      </c>
      <c r="N18" s="1"/>
      <c r="O18" s="1"/>
      <c r="P18" s="1"/>
      <c r="Q18" s="1"/>
      <c r="R18" s="1"/>
      <c r="S18" s="1">
        <f t="shared" si="0"/>
        <v>8</v>
      </c>
    </row>
    <row r="19" spans="1:19" x14ac:dyDescent="0.55000000000000004">
      <c r="A19" s="36"/>
      <c r="B19" s="3">
        <v>45461</v>
      </c>
      <c r="C19" s="1">
        <v>1</v>
      </c>
      <c r="D19" s="1">
        <v>1</v>
      </c>
      <c r="E19" s="1">
        <v>1</v>
      </c>
      <c r="F19" s="1"/>
      <c r="G19" s="1"/>
      <c r="H19" s="1">
        <v>1</v>
      </c>
      <c r="I19" s="1">
        <v>1</v>
      </c>
      <c r="J19" s="1"/>
      <c r="K19" s="1"/>
      <c r="L19" s="1">
        <v>1</v>
      </c>
      <c r="M19" s="1">
        <v>1</v>
      </c>
      <c r="N19" s="1"/>
      <c r="O19" s="1"/>
      <c r="P19" s="1"/>
      <c r="Q19" s="1"/>
      <c r="R19" s="1"/>
      <c r="S19" s="1">
        <f t="shared" si="0"/>
        <v>7</v>
      </c>
    </row>
    <row r="20" spans="1:19" x14ac:dyDescent="0.55000000000000004">
      <c r="A20" s="37"/>
      <c r="B20" s="3">
        <v>45489</v>
      </c>
      <c r="C20" s="1">
        <v>1</v>
      </c>
      <c r="D20" s="1">
        <v>1</v>
      </c>
      <c r="E20" s="1">
        <v>1</v>
      </c>
      <c r="F20" s="1"/>
      <c r="G20" s="1"/>
      <c r="H20" s="1">
        <v>1</v>
      </c>
      <c r="I20" s="1">
        <v>1</v>
      </c>
      <c r="J20" s="1">
        <v>1</v>
      </c>
      <c r="K20" s="1"/>
      <c r="L20" s="1"/>
      <c r="M20" s="1">
        <v>1</v>
      </c>
      <c r="N20" s="1"/>
      <c r="O20" s="1"/>
      <c r="P20" s="1"/>
      <c r="Q20" s="1"/>
      <c r="R20" s="1"/>
      <c r="S20" s="1">
        <f t="shared" si="0"/>
        <v>7</v>
      </c>
    </row>
    <row r="21" spans="1:19" x14ac:dyDescent="0.55000000000000004">
      <c r="A21" s="37"/>
      <c r="B21" s="3">
        <v>45503</v>
      </c>
      <c r="C21" s="1">
        <v>1</v>
      </c>
      <c r="D21" s="1">
        <v>1</v>
      </c>
      <c r="E21" s="1">
        <v>1</v>
      </c>
      <c r="F21" s="1"/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/>
      <c r="O21" s="1"/>
      <c r="P21" s="1"/>
      <c r="Q21" s="1"/>
      <c r="R21" s="1"/>
      <c r="S21" s="1">
        <f t="shared" si="0"/>
        <v>10</v>
      </c>
    </row>
    <row r="22" spans="1:19" x14ac:dyDescent="0.55000000000000004">
      <c r="A22" s="37"/>
      <c r="B22" s="3">
        <v>45510</v>
      </c>
      <c r="C22" s="1">
        <v>1</v>
      </c>
      <c r="D22" s="1">
        <v>1</v>
      </c>
      <c r="E22" s="1">
        <v>1</v>
      </c>
      <c r="F22" s="1"/>
      <c r="G22" s="1">
        <v>1</v>
      </c>
      <c r="H22" s="1"/>
      <c r="I22" s="1">
        <v>1</v>
      </c>
      <c r="J22" s="1"/>
      <c r="K22" s="1"/>
      <c r="L22" s="1"/>
      <c r="M22" s="1"/>
      <c r="N22" s="1"/>
      <c r="O22" s="1"/>
      <c r="P22" s="1"/>
      <c r="Q22" s="1"/>
      <c r="R22" s="1"/>
      <c r="S22" s="1">
        <f t="shared" si="0"/>
        <v>5</v>
      </c>
    </row>
    <row r="23" spans="1:19" x14ac:dyDescent="0.55000000000000004">
      <c r="A23" s="37"/>
      <c r="B23" s="3">
        <v>45517</v>
      </c>
      <c r="C23" s="1">
        <v>1</v>
      </c>
      <c r="D23" s="1">
        <v>1</v>
      </c>
      <c r="E23" s="1">
        <v>1</v>
      </c>
      <c r="F23" s="1"/>
      <c r="G23" s="1">
        <v>1</v>
      </c>
      <c r="H23" s="1">
        <v>1</v>
      </c>
      <c r="I23" s="1">
        <v>1</v>
      </c>
      <c r="J23" s="1"/>
      <c r="K23" s="1"/>
      <c r="L23" s="1">
        <v>1</v>
      </c>
      <c r="M23" s="1">
        <v>1</v>
      </c>
      <c r="N23" s="1"/>
      <c r="O23" s="1"/>
      <c r="P23" s="1"/>
      <c r="Q23" s="1"/>
      <c r="R23" s="1"/>
      <c r="S23" s="1">
        <f t="shared" si="0"/>
        <v>8</v>
      </c>
    </row>
    <row r="24" spans="1:19" x14ac:dyDescent="0.55000000000000004">
      <c r="A24" s="37"/>
      <c r="B24" s="3">
        <v>45545</v>
      </c>
      <c r="C24" s="1">
        <v>1</v>
      </c>
      <c r="D24" s="1">
        <v>1</v>
      </c>
      <c r="E24" s="1">
        <v>1</v>
      </c>
      <c r="F24" s="1"/>
      <c r="G24" s="1">
        <v>1</v>
      </c>
      <c r="H24" s="1">
        <v>1</v>
      </c>
      <c r="I24" s="1">
        <v>1</v>
      </c>
      <c r="J24" s="1"/>
      <c r="K24" s="1"/>
      <c r="L24" s="1">
        <v>1</v>
      </c>
      <c r="M24" s="1">
        <v>1</v>
      </c>
      <c r="N24" s="1"/>
      <c r="O24" s="1"/>
      <c r="P24" s="1"/>
      <c r="Q24" s="1"/>
      <c r="R24" s="1"/>
      <c r="S24" s="1">
        <f t="shared" si="0"/>
        <v>8</v>
      </c>
    </row>
    <row r="25" spans="1:19" x14ac:dyDescent="0.55000000000000004">
      <c r="A25" s="37"/>
      <c r="B25" s="3">
        <v>45552</v>
      </c>
      <c r="C25" s="1">
        <v>1</v>
      </c>
      <c r="D25" s="1"/>
      <c r="E25" s="1">
        <v>1</v>
      </c>
      <c r="F25" s="1"/>
      <c r="G25" s="1">
        <v>1</v>
      </c>
      <c r="H25" s="1">
        <v>1</v>
      </c>
      <c r="I25" s="1">
        <v>1</v>
      </c>
      <c r="J25" s="1"/>
      <c r="K25" s="1"/>
      <c r="L25" s="1">
        <v>1</v>
      </c>
      <c r="M25" s="1">
        <v>1</v>
      </c>
      <c r="N25" s="1"/>
      <c r="O25" s="1"/>
      <c r="P25" s="1"/>
      <c r="Q25" s="1"/>
      <c r="R25" s="1"/>
      <c r="S25" s="1">
        <f t="shared" si="0"/>
        <v>7</v>
      </c>
    </row>
    <row r="26" spans="1:19" ht="54.5" thickBot="1" x14ac:dyDescent="0.6">
      <c r="A26" s="4" t="s">
        <v>16</v>
      </c>
      <c r="B26" s="5" t="s">
        <v>15</v>
      </c>
      <c r="C26" s="6">
        <v>18</v>
      </c>
      <c r="D26" s="6"/>
      <c r="E26" s="6"/>
      <c r="F26" s="6"/>
      <c r="G26" s="7"/>
      <c r="H26" s="7"/>
      <c r="I26" s="6"/>
      <c r="J26" s="7"/>
      <c r="K26" s="6"/>
      <c r="L26" s="6"/>
      <c r="M26" s="6"/>
      <c r="N26" s="6"/>
      <c r="O26" s="6"/>
      <c r="P26" s="6"/>
      <c r="Q26" s="7"/>
      <c r="R26" s="6"/>
      <c r="S26" s="1">
        <f t="shared" si="0"/>
        <v>18</v>
      </c>
    </row>
    <row r="27" spans="1:19" ht="18.5" thickTop="1" x14ac:dyDescent="0.55000000000000004">
      <c r="A27" s="38" t="s">
        <v>10</v>
      </c>
      <c r="B27" s="38"/>
      <c r="C27" s="12">
        <f t="shared" ref="C27:K27" si="1">SUM(C4:C26)</f>
        <v>63.5</v>
      </c>
      <c r="D27" s="12">
        <f t="shared" si="1"/>
        <v>42</v>
      </c>
      <c r="E27" s="12">
        <f t="shared" si="1"/>
        <v>44</v>
      </c>
      <c r="F27" s="12">
        <f t="shared" si="1"/>
        <v>23.5</v>
      </c>
      <c r="G27" s="13">
        <f t="shared" si="1"/>
        <v>36.5</v>
      </c>
      <c r="H27" s="13">
        <f t="shared" si="1"/>
        <v>38</v>
      </c>
      <c r="I27" s="12">
        <f t="shared" si="1"/>
        <v>37.5</v>
      </c>
      <c r="J27" s="13">
        <f t="shared" si="1"/>
        <v>25.5</v>
      </c>
      <c r="K27" s="12">
        <f t="shared" si="1"/>
        <v>24.5</v>
      </c>
      <c r="L27" s="12">
        <f t="shared" ref="L27:R27" si="2">SUM(L4:L26)</f>
        <v>35.5</v>
      </c>
      <c r="M27" s="12">
        <f t="shared" si="2"/>
        <v>37.5</v>
      </c>
      <c r="N27" s="12">
        <f t="shared" si="2"/>
        <v>23.5</v>
      </c>
      <c r="O27" s="12">
        <f t="shared" si="2"/>
        <v>23.5</v>
      </c>
      <c r="P27" s="12">
        <f t="shared" si="2"/>
        <v>23.5</v>
      </c>
      <c r="Q27" s="13">
        <f>SUM(Q4:Q26)</f>
        <v>2</v>
      </c>
      <c r="R27" s="12">
        <f t="shared" si="2"/>
        <v>2</v>
      </c>
      <c r="S27" s="13">
        <f>SUM(C27:R27)</f>
        <v>482.5</v>
      </c>
    </row>
  </sheetData>
  <mergeCells count="6">
    <mergeCell ref="F2:R2"/>
    <mergeCell ref="A4:A7"/>
    <mergeCell ref="A8:A9"/>
    <mergeCell ref="A10:A25"/>
    <mergeCell ref="A27:B27"/>
    <mergeCell ref="C2:E2"/>
  </mergeCells>
  <phoneticPr fontId="1"/>
  <pageMargins left="0.7" right="0.7" top="0.75" bottom="0.75" header="0.3" footer="0.3"/>
  <ignoredErrors>
    <ignoredError sqref="S4 S5:S2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2025年4月～9月分</vt:lpstr>
      <vt:lpstr>参考 2024年10月～翌3月分</vt:lpstr>
      <vt:lpstr>参考 2024年4月～9月分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金田　洋人</dc:creator>
  <cp:lastModifiedBy>Zhiyuan WANG/ONHM</cp:lastModifiedBy>
  <cp:lastPrinted>2025-11-14T04:17:12Z</cp:lastPrinted>
  <dcterms:created xsi:type="dcterms:W3CDTF">2024-04-04T11:44:10Z</dcterms:created>
  <dcterms:modified xsi:type="dcterms:W3CDTF">2025-11-19T07:52:55Z</dcterms:modified>
</cp:coreProperties>
</file>